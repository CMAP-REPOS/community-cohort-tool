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mcadams\GitHub\community-cohort-tool\input\"/>
    </mc:Choice>
  </mc:AlternateContent>
  <xr:revisionPtr revIDLastSave="0" documentId="13_ncr:1_{E053E3BE-27F7-4613-AF4A-1AD84913AC61}" xr6:coauthVersionLast="47" xr6:coauthVersionMax="47" xr10:uidLastSave="{00000000-0000-0000-0000-000000000000}"/>
  <bookViews>
    <workbookView xWindow="-28020" yWindow="5790" windowWidth="26055" windowHeight="13425" xr2:uid="{00000000-000D-0000-FFFF-FFFF00000000}"/>
  </bookViews>
  <sheets>
    <sheet name="FACTORS_MUNI" sheetId="1" r:id="rId1"/>
    <sheet name="FACTORS_CCA" sheetId="4" r:id="rId2"/>
    <sheet name="WEIGHTS" sheetId="2" r:id="rId3"/>
    <sheet name="COHORTS" sheetId="3" r:id="rId4"/>
  </sheets>
  <definedNames>
    <definedName name="_xlnm._FilterDatabase" localSheetId="1" hidden="1">FACTORS_CCA!$A$1:$J$78</definedName>
    <definedName name="_xlnm._FilterDatabase" localSheetId="0" hidden="1">FACTORS_MUNI!$A$1:$L$285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H3" i="1"/>
  <c r="I3" i="1" s="1"/>
  <c r="H2" i="1" l="1"/>
  <c r="G2" i="4" l="1"/>
  <c r="H3" i="4" l="1"/>
  <c r="G4" i="4"/>
  <c r="H4" i="4" s="1"/>
  <c r="G5" i="4"/>
  <c r="H5" i="4" s="1"/>
  <c r="G6" i="4"/>
  <c r="H6" i="4" s="1"/>
  <c r="G7" i="4"/>
  <c r="H7" i="4" s="1"/>
  <c r="G8" i="4"/>
  <c r="H8" i="4" s="1"/>
  <c r="G9" i="4"/>
  <c r="H9" i="4" s="1"/>
  <c r="G10" i="4"/>
  <c r="H10" i="4" s="1"/>
  <c r="G11" i="4"/>
  <c r="H11" i="4" s="1"/>
  <c r="G12" i="4"/>
  <c r="H12" i="4" s="1"/>
  <c r="G13" i="4"/>
  <c r="H13" i="4" s="1"/>
  <c r="G14" i="4"/>
  <c r="H14" i="4" s="1"/>
  <c r="G15" i="4"/>
  <c r="H15" i="4" s="1"/>
  <c r="G16" i="4"/>
  <c r="H16" i="4" s="1"/>
  <c r="G17" i="4"/>
  <c r="H17" i="4" s="1"/>
  <c r="G18" i="4"/>
  <c r="H18" i="4" s="1"/>
  <c r="G19" i="4"/>
  <c r="H19" i="4" s="1"/>
  <c r="G20" i="4"/>
  <c r="H20" i="4" s="1"/>
  <c r="G21" i="4"/>
  <c r="H21" i="4" s="1"/>
  <c r="G22" i="4"/>
  <c r="H22" i="4" s="1"/>
  <c r="G23" i="4"/>
  <c r="H23" i="4" s="1"/>
  <c r="G24" i="4"/>
  <c r="H24" i="4" s="1"/>
  <c r="G25" i="4"/>
  <c r="H25" i="4" s="1"/>
  <c r="G26" i="4"/>
  <c r="H26" i="4" s="1"/>
  <c r="G27" i="4"/>
  <c r="H27" i="4" s="1"/>
  <c r="G28" i="4"/>
  <c r="H28" i="4" s="1"/>
  <c r="G29" i="4"/>
  <c r="H29" i="4" s="1"/>
  <c r="G30" i="4"/>
  <c r="H30" i="4" s="1"/>
  <c r="G31" i="4"/>
  <c r="H31" i="4" s="1"/>
  <c r="G32" i="4"/>
  <c r="H32" i="4" s="1"/>
  <c r="G33" i="4"/>
  <c r="H33" i="4" s="1"/>
  <c r="G34" i="4"/>
  <c r="H34" i="4" s="1"/>
  <c r="G35" i="4"/>
  <c r="H35" i="4" s="1"/>
  <c r="G36" i="4"/>
  <c r="H36" i="4" s="1"/>
  <c r="G37" i="4"/>
  <c r="H37" i="4" s="1"/>
  <c r="G38" i="4"/>
  <c r="H38" i="4" s="1"/>
  <c r="G39" i="4"/>
  <c r="H39" i="4" s="1"/>
  <c r="G40" i="4"/>
  <c r="H40" i="4" s="1"/>
  <c r="G41" i="4"/>
  <c r="H41" i="4" s="1"/>
  <c r="G42" i="4"/>
  <c r="H42" i="4" s="1"/>
  <c r="G43" i="4"/>
  <c r="H43" i="4" s="1"/>
  <c r="G44" i="4"/>
  <c r="H44" i="4" s="1"/>
  <c r="G45" i="4"/>
  <c r="H45" i="4" s="1"/>
  <c r="G46" i="4"/>
  <c r="H46" i="4" s="1"/>
  <c r="G47" i="4"/>
  <c r="H47" i="4" s="1"/>
  <c r="G48" i="4"/>
  <c r="H48" i="4" s="1"/>
  <c r="G49" i="4"/>
  <c r="H49" i="4" s="1"/>
  <c r="G50" i="4"/>
  <c r="H50" i="4" s="1"/>
  <c r="G51" i="4"/>
  <c r="H51" i="4" s="1"/>
  <c r="G52" i="4"/>
  <c r="H52" i="4" s="1"/>
  <c r="G53" i="4"/>
  <c r="H53" i="4" s="1"/>
  <c r="G54" i="4"/>
  <c r="H54" i="4" s="1"/>
  <c r="G55" i="4"/>
  <c r="H55" i="4" s="1"/>
  <c r="G57" i="4"/>
  <c r="G56" i="4"/>
  <c r="H56" i="4" s="1"/>
  <c r="G58" i="4"/>
  <c r="H58" i="4" s="1"/>
  <c r="G59" i="4"/>
  <c r="H59" i="4" s="1"/>
  <c r="G60" i="4"/>
  <c r="H60" i="4" s="1"/>
  <c r="G61" i="4"/>
  <c r="H61" i="4" s="1"/>
  <c r="G62" i="4"/>
  <c r="H62" i="4" s="1"/>
  <c r="G63" i="4"/>
  <c r="H63" i="4" s="1"/>
  <c r="G64" i="4"/>
  <c r="H64" i="4" s="1"/>
  <c r="G65" i="4"/>
  <c r="H65" i="4" s="1"/>
  <c r="G66" i="4"/>
  <c r="H66" i="4" s="1"/>
  <c r="G67" i="4"/>
  <c r="H67" i="4" s="1"/>
  <c r="G68" i="4"/>
  <c r="H68" i="4" s="1"/>
  <c r="G69" i="4"/>
  <c r="H69" i="4" s="1"/>
  <c r="G70" i="4"/>
  <c r="H70" i="4" s="1"/>
  <c r="G71" i="4"/>
  <c r="H71" i="4" s="1"/>
  <c r="G72" i="4"/>
  <c r="H72" i="4" s="1"/>
  <c r="G73" i="4"/>
  <c r="H73" i="4" s="1"/>
  <c r="G74" i="4"/>
  <c r="H74" i="4" s="1"/>
  <c r="G75" i="4"/>
  <c r="H75" i="4" s="1"/>
  <c r="G76" i="4"/>
  <c r="H76" i="4" s="1"/>
  <c r="G77" i="4"/>
  <c r="H77" i="4" s="1"/>
  <c r="G78" i="4"/>
  <c r="H78" i="4" s="1"/>
  <c r="H2" i="4"/>
  <c r="H57" i="4" l="1"/>
  <c r="A5" i="2"/>
  <c r="A4" i="2"/>
  <c r="A3" i="2"/>
  <c r="A2" i="2"/>
  <c r="L285" i="1"/>
  <c r="K285" i="1"/>
  <c r="H285" i="1"/>
  <c r="I285" i="1" s="1"/>
  <c r="J285" i="1" s="1"/>
  <c r="L284" i="1"/>
  <c r="K284" i="1"/>
  <c r="H284" i="1"/>
  <c r="I284" i="1" s="1"/>
  <c r="J284" i="1" s="1"/>
  <c r="L283" i="1"/>
  <c r="K283" i="1"/>
  <c r="H283" i="1"/>
  <c r="L282" i="1"/>
  <c r="K282" i="1"/>
  <c r="H282" i="1"/>
  <c r="L281" i="1"/>
  <c r="K281" i="1"/>
  <c r="H281" i="1"/>
  <c r="I281" i="1" s="1"/>
  <c r="J281" i="1" s="1"/>
  <c r="L280" i="1"/>
  <c r="K280" i="1"/>
  <c r="H280" i="1"/>
  <c r="I280" i="1" s="1"/>
  <c r="J280" i="1" s="1"/>
  <c r="L279" i="1"/>
  <c r="K279" i="1"/>
  <c r="H279" i="1"/>
  <c r="L278" i="1"/>
  <c r="K278" i="1"/>
  <c r="H278" i="1"/>
  <c r="L277" i="1"/>
  <c r="K277" i="1"/>
  <c r="H277" i="1"/>
  <c r="I277" i="1" s="1"/>
  <c r="J277" i="1" s="1"/>
  <c r="L276" i="1"/>
  <c r="K276" i="1"/>
  <c r="H276" i="1"/>
  <c r="I276" i="1" s="1"/>
  <c r="J276" i="1" s="1"/>
  <c r="L275" i="1"/>
  <c r="K275" i="1"/>
  <c r="H275" i="1"/>
  <c r="L274" i="1"/>
  <c r="K274" i="1"/>
  <c r="H274" i="1"/>
  <c r="L273" i="1"/>
  <c r="K273" i="1"/>
  <c r="H273" i="1"/>
  <c r="I273" i="1" s="1"/>
  <c r="J273" i="1" s="1"/>
  <c r="L272" i="1"/>
  <c r="K272" i="1"/>
  <c r="H272" i="1"/>
  <c r="I272" i="1" s="1"/>
  <c r="J272" i="1" s="1"/>
  <c r="L271" i="1"/>
  <c r="K271" i="1"/>
  <c r="H271" i="1"/>
  <c r="L270" i="1"/>
  <c r="K270" i="1"/>
  <c r="H270" i="1"/>
  <c r="L269" i="1"/>
  <c r="K269" i="1"/>
  <c r="H269" i="1"/>
  <c r="I269" i="1" s="1"/>
  <c r="J269" i="1" s="1"/>
  <c r="L268" i="1"/>
  <c r="K268" i="1"/>
  <c r="H268" i="1"/>
  <c r="I268" i="1" s="1"/>
  <c r="J268" i="1" s="1"/>
  <c r="L267" i="1"/>
  <c r="K267" i="1"/>
  <c r="H267" i="1"/>
  <c r="I267" i="1" s="1"/>
  <c r="J267" i="1" s="1"/>
  <c r="L266" i="1"/>
  <c r="K266" i="1"/>
  <c r="H266" i="1"/>
  <c r="L265" i="1"/>
  <c r="K265" i="1"/>
  <c r="H265" i="1"/>
  <c r="I265" i="1" s="1"/>
  <c r="J265" i="1" s="1"/>
  <c r="L264" i="1"/>
  <c r="K264" i="1"/>
  <c r="H264" i="1"/>
  <c r="I264" i="1" s="1"/>
  <c r="J264" i="1" s="1"/>
  <c r="L263" i="1"/>
  <c r="K263" i="1"/>
  <c r="H263" i="1"/>
  <c r="L262" i="1"/>
  <c r="K262" i="1"/>
  <c r="H262" i="1"/>
  <c r="L261" i="1"/>
  <c r="K261" i="1"/>
  <c r="H261" i="1"/>
  <c r="I261" i="1" s="1"/>
  <c r="J261" i="1" s="1"/>
  <c r="L260" i="1"/>
  <c r="K260" i="1"/>
  <c r="H260" i="1"/>
  <c r="I260" i="1" s="1"/>
  <c r="J260" i="1" s="1"/>
  <c r="L259" i="1"/>
  <c r="K259" i="1"/>
  <c r="H259" i="1"/>
  <c r="I259" i="1" s="1"/>
  <c r="J259" i="1" s="1"/>
  <c r="L258" i="1"/>
  <c r="K258" i="1"/>
  <c r="H258" i="1"/>
  <c r="L257" i="1"/>
  <c r="K257" i="1"/>
  <c r="H257" i="1"/>
  <c r="I257" i="1" s="1"/>
  <c r="J257" i="1" s="1"/>
  <c r="L256" i="1"/>
  <c r="K256" i="1"/>
  <c r="H256" i="1"/>
  <c r="I256" i="1" s="1"/>
  <c r="J256" i="1" s="1"/>
  <c r="L255" i="1"/>
  <c r="K255" i="1"/>
  <c r="H255" i="1"/>
  <c r="I255" i="1" s="1"/>
  <c r="J255" i="1" s="1"/>
  <c r="L254" i="1"/>
  <c r="K254" i="1"/>
  <c r="H254" i="1"/>
  <c r="L253" i="1"/>
  <c r="K253" i="1"/>
  <c r="H253" i="1"/>
  <c r="I253" i="1" s="1"/>
  <c r="J253" i="1" s="1"/>
  <c r="L252" i="1"/>
  <c r="K252" i="1"/>
  <c r="H252" i="1"/>
  <c r="I252" i="1" s="1"/>
  <c r="J252" i="1" s="1"/>
  <c r="L251" i="1"/>
  <c r="K251" i="1"/>
  <c r="H251" i="1"/>
  <c r="L250" i="1"/>
  <c r="K250" i="1"/>
  <c r="H250" i="1"/>
  <c r="L249" i="1"/>
  <c r="K249" i="1"/>
  <c r="H249" i="1"/>
  <c r="I249" i="1" s="1"/>
  <c r="J249" i="1" s="1"/>
  <c r="L248" i="1"/>
  <c r="K248" i="1"/>
  <c r="H248" i="1"/>
  <c r="L247" i="1"/>
  <c r="K247" i="1"/>
  <c r="H247" i="1"/>
  <c r="L246" i="1"/>
  <c r="K246" i="1"/>
  <c r="H246" i="1"/>
  <c r="L245" i="1"/>
  <c r="K245" i="1"/>
  <c r="H245" i="1"/>
  <c r="I245" i="1" s="1"/>
  <c r="J245" i="1" s="1"/>
  <c r="L244" i="1"/>
  <c r="K244" i="1"/>
  <c r="H244" i="1"/>
  <c r="L243" i="1"/>
  <c r="K243" i="1"/>
  <c r="H243" i="1"/>
  <c r="I243" i="1" s="1"/>
  <c r="J243" i="1" s="1"/>
  <c r="L242" i="1"/>
  <c r="K242" i="1"/>
  <c r="H242" i="1"/>
  <c r="L241" i="1"/>
  <c r="K241" i="1"/>
  <c r="H241" i="1"/>
  <c r="I241" i="1" s="1"/>
  <c r="J241" i="1" s="1"/>
  <c r="L240" i="1"/>
  <c r="K240" i="1"/>
  <c r="H240" i="1"/>
  <c r="I240" i="1" s="1"/>
  <c r="J240" i="1" s="1"/>
  <c r="L239" i="1"/>
  <c r="K239" i="1"/>
  <c r="H239" i="1"/>
  <c r="L238" i="1"/>
  <c r="K238" i="1"/>
  <c r="H238" i="1"/>
  <c r="L237" i="1"/>
  <c r="K237" i="1"/>
  <c r="H237" i="1"/>
  <c r="I237" i="1" s="1"/>
  <c r="J237" i="1" s="1"/>
  <c r="L236" i="1"/>
  <c r="K236" i="1"/>
  <c r="H236" i="1"/>
  <c r="I236" i="1" s="1"/>
  <c r="J236" i="1" s="1"/>
  <c r="L235" i="1"/>
  <c r="K235" i="1"/>
  <c r="H235" i="1"/>
  <c r="L234" i="1"/>
  <c r="K234" i="1"/>
  <c r="H234" i="1"/>
  <c r="L233" i="1"/>
  <c r="K233" i="1"/>
  <c r="H233" i="1"/>
  <c r="I233" i="1" s="1"/>
  <c r="J233" i="1" s="1"/>
  <c r="L232" i="1"/>
  <c r="K232" i="1"/>
  <c r="H232" i="1"/>
  <c r="I232" i="1" s="1"/>
  <c r="J232" i="1" s="1"/>
  <c r="L231" i="1"/>
  <c r="K231" i="1"/>
  <c r="H231" i="1"/>
  <c r="L230" i="1"/>
  <c r="K230" i="1"/>
  <c r="H230" i="1"/>
  <c r="L229" i="1"/>
  <c r="K229" i="1"/>
  <c r="H229" i="1"/>
  <c r="I229" i="1" s="1"/>
  <c r="J229" i="1" s="1"/>
  <c r="L228" i="1"/>
  <c r="K228" i="1"/>
  <c r="H228" i="1"/>
  <c r="I228" i="1" s="1"/>
  <c r="J228" i="1" s="1"/>
  <c r="L227" i="1"/>
  <c r="K227" i="1"/>
  <c r="H227" i="1"/>
  <c r="L226" i="1"/>
  <c r="K226" i="1"/>
  <c r="H226" i="1"/>
  <c r="L225" i="1"/>
  <c r="K225" i="1"/>
  <c r="H225" i="1"/>
  <c r="I225" i="1" s="1"/>
  <c r="J225" i="1" s="1"/>
  <c r="L224" i="1"/>
  <c r="K224" i="1"/>
  <c r="H224" i="1"/>
  <c r="I224" i="1" s="1"/>
  <c r="J224" i="1" s="1"/>
  <c r="L223" i="1"/>
  <c r="K223" i="1"/>
  <c r="H223" i="1"/>
  <c r="I223" i="1" s="1"/>
  <c r="J223" i="1" s="1"/>
  <c r="L222" i="1"/>
  <c r="K222" i="1"/>
  <c r="H222" i="1"/>
  <c r="L221" i="1"/>
  <c r="K221" i="1"/>
  <c r="H221" i="1"/>
  <c r="I221" i="1" s="1"/>
  <c r="J221" i="1" s="1"/>
  <c r="L220" i="1"/>
  <c r="K220" i="1"/>
  <c r="H220" i="1"/>
  <c r="I220" i="1" s="1"/>
  <c r="J220" i="1" s="1"/>
  <c r="L219" i="1"/>
  <c r="K219" i="1"/>
  <c r="H219" i="1"/>
  <c r="L218" i="1"/>
  <c r="K218" i="1"/>
  <c r="H218" i="1"/>
  <c r="L217" i="1"/>
  <c r="K217" i="1"/>
  <c r="H217" i="1"/>
  <c r="I217" i="1" s="1"/>
  <c r="J217" i="1" s="1"/>
  <c r="L216" i="1"/>
  <c r="K216" i="1"/>
  <c r="H216" i="1"/>
  <c r="L215" i="1"/>
  <c r="K215" i="1"/>
  <c r="H215" i="1"/>
  <c r="L214" i="1"/>
  <c r="K214" i="1"/>
  <c r="H214" i="1"/>
  <c r="L213" i="1"/>
  <c r="K213" i="1"/>
  <c r="H213" i="1"/>
  <c r="I213" i="1" s="1"/>
  <c r="J213" i="1" s="1"/>
  <c r="L212" i="1"/>
  <c r="K212" i="1"/>
  <c r="H212" i="1"/>
  <c r="L211" i="1"/>
  <c r="K211" i="1"/>
  <c r="H211" i="1"/>
  <c r="L210" i="1"/>
  <c r="K210" i="1"/>
  <c r="H210" i="1"/>
  <c r="L209" i="1"/>
  <c r="K209" i="1"/>
  <c r="H209" i="1"/>
  <c r="I209" i="1" s="1"/>
  <c r="J209" i="1" s="1"/>
  <c r="L208" i="1"/>
  <c r="K208" i="1"/>
  <c r="H208" i="1"/>
  <c r="I208" i="1" s="1"/>
  <c r="J208" i="1" s="1"/>
  <c r="L207" i="1"/>
  <c r="K207" i="1"/>
  <c r="H207" i="1"/>
  <c r="L206" i="1"/>
  <c r="K206" i="1"/>
  <c r="H206" i="1"/>
  <c r="L205" i="1"/>
  <c r="K205" i="1"/>
  <c r="H205" i="1"/>
  <c r="I205" i="1" s="1"/>
  <c r="J205" i="1" s="1"/>
  <c r="L204" i="1"/>
  <c r="K204" i="1"/>
  <c r="H204" i="1"/>
  <c r="I204" i="1" s="1"/>
  <c r="J204" i="1" s="1"/>
  <c r="L203" i="1"/>
  <c r="K203" i="1"/>
  <c r="H203" i="1"/>
  <c r="L202" i="1"/>
  <c r="K202" i="1"/>
  <c r="H202" i="1"/>
  <c r="L201" i="1"/>
  <c r="K201" i="1"/>
  <c r="H201" i="1"/>
  <c r="I201" i="1" s="1"/>
  <c r="J201" i="1" s="1"/>
  <c r="L200" i="1"/>
  <c r="K200" i="1"/>
  <c r="H200" i="1"/>
  <c r="I200" i="1" s="1"/>
  <c r="J200" i="1" s="1"/>
  <c r="L199" i="1"/>
  <c r="K199" i="1"/>
  <c r="H199" i="1"/>
  <c r="L198" i="1"/>
  <c r="K198" i="1"/>
  <c r="H198" i="1"/>
  <c r="L197" i="1"/>
  <c r="K197" i="1"/>
  <c r="H197" i="1"/>
  <c r="I197" i="1" s="1"/>
  <c r="J197" i="1" s="1"/>
  <c r="L196" i="1"/>
  <c r="K196" i="1"/>
  <c r="H196" i="1"/>
  <c r="I196" i="1" s="1"/>
  <c r="J196" i="1" s="1"/>
  <c r="L195" i="1"/>
  <c r="K195" i="1"/>
  <c r="H195" i="1"/>
  <c r="I195" i="1" s="1"/>
  <c r="J195" i="1" s="1"/>
  <c r="L194" i="1"/>
  <c r="K194" i="1"/>
  <c r="H194" i="1"/>
  <c r="L193" i="1"/>
  <c r="K193" i="1"/>
  <c r="H193" i="1"/>
  <c r="I193" i="1" s="1"/>
  <c r="J193" i="1" s="1"/>
  <c r="L192" i="1"/>
  <c r="K192" i="1"/>
  <c r="H192" i="1"/>
  <c r="I192" i="1" s="1"/>
  <c r="J192" i="1" s="1"/>
  <c r="L191" i="1"/>
  <c r="K191" i="1"/>
  <c r="H191" i="1"/>
  <c r="I191" i="1" s="1"/>
  <c r="J191" i="1" s="1"/>
  <c r="L190" i="1"/>
  <c r="K190" i="1"/>
  <c r="H190" i="1"/>
  <c r="L189" i="1"/>
  <c r="K189" i="1"/>
  <c r="H189" i="1"/>
  <c r="I189" i="1" s="1"/>
  <c r="J189" i="1" s="1"/>
  <c r="L188" i="1"/>
  <c r="K188" i="1"/>
  <c r="H188" i="1"/>
  <c r="I188" i="1" s="1"/>
  <c r="J188" i="1" s="1"/>
  <c r="L187" i="1"/>
  <c r="K187" i="1"/>
  <c r="H187" i="1"/>
  <c r="L186" i="1"/>
  <c r="K186" i="1"/>
  <c r="H186" i="1"/>
  <c r="L185" i="1"/>
  <c r="K185" i="1"/>
  <c r="H185" i="1"/>
  <c r="I185" i="1" s="1"/>
  <c r="J185" i="1" s="1"/>
  <c r="L184" i="1"/>
  <c r="K184" i="1"/>
  <c r="H184" i="1"/>
  <c r="L183" i="1"/>
  <c r="K183" i="1"/>
  <c r="H183" i="1"/>
  <c r="I183" i="1" s="1"/>
  <c r="J183" i="1" s="1"/>
  <c r="L182" i="1"/>
  <c r="K182" i="1"/>
  <c r="H182" i="1"/>
  <c r="L181" i="1"/>
  <c r="K181" i="1"/>
  <c r="H181" i="1"/>
  <c r="I181" i="1" s="1"/>
  <c r="J181" i="1" s="1"/>
  <c r="L180" i="1"/>
  <c r="K180" i="1"/>
  <c r="H180" i="1"/>
  <c r="L179" i="1"/>
  <c r="K179" i="1"/>
  <c r="H179" i="1"/>
  <c r="L178" i="1"/>
  <c r="K178" i="1"/>
  <c r="H178" i="1"/>
  <c r="L177" i="1"/>
  <c r="K177" i="1"/>
  <c r="H177" i="1"/>
  <c r="I177" i="1" s="1"/>
  <c r="J177" i="1" s="1"/>
  <c r="L176" i="1"/>
  <c r="K176" i="1"/>
  <c r="H176" i="1"/>
  <c r="I176" i="1" s="1"/>
  <c r="J176" i="1" s="1"/>
  <c r="L175" i="1"/>
  <c r="K175" i="1"/>
  <c r="H175" i="1"/>
  <c r="L174" i="1"/>
  <c r="K174" i="1"/>
  <c r="H174" i="1"/>
  <c r="L173" i="1"/>
  <c r="K173" i="1"/>
  <c r="H173" i="1"/>
  <c r="I173" i="1" s="1"/>
  <c r="J173" i="1" s="1"/>
  <c r="L172" i="1"/>
  <c r="K172" i="1"/>
  <c r="H172" i="1"/>
  <c r="I172" i="1" s="1"/>
  <c r="J172" i="1" s="1"/>
  <c r="L171" i="1"/>
  <c r="K171" i="1"/>
  <c r="H171" i="1"/>
  <c r="L170" i="1"/>
  <c r="K170" i="1"/>
  <c r="H170" i="1"/>
  <c r="L169" i="1"/>
  <c r="K169" i="1"/>
  <c r="H169" i="1"/>
  <c r="I169" i="1" s="1"/>
  <c r="J169" i="1" s="1"/>
  <c r="L168" i="1"/>
  <c r="K168" i="1"/>
  <c r="H168" i="1"/>
  <c r="I168" i="1" s="1"/>
  <c r="J168" i="1" s="1"/>
  <c r="L167" i="1"/>
  <c r="K167" i="1"/>
  <c r="H167" i="1"/>
  <c r="L166" i="1"/>
  <c r="K166" i="1"/>
  <c r="H166" i="1"/>
  <c r="L165" i="1"/>
  <c r="K165" i="1"/>
  <c r="H165" i="1"/>
  <c r="I165" i="1" s="1"/>
  <c r="J165" i="1" s="1"/>
  <c r="L164" i="1"/>
  <c r="K164" i="1"/>
  <c r="H164" i="1"/>
  <c r="I164" i="1" s="1"/>
  <c r="J164" i="1" s="1"/>
  <c r="L163" i="1"/>
  <c r="K163" i="1"/>
  <c r="H163" i="1"/>
  <c r="L162" i="1"/>
  <c r="K162" i="1"/>
  <c r="H162" i="1"/>
  <c r="L161" i="1"/>
  <c r="K161" i="1"/>
  <c r="H161" i="1"/>
  <c r="I161" i="1" s="1"/>
  <c r="J161" i="1" s="1"/>
  <c r="L160" i="1"/>
  <c r="K160" i="1"/>
  <c r="H160" i="1"/>
  <c r="I160" i="1" s="1"/>
  <c r="J160" i="1" s="1"/>
  <c r="L159" i="1"/>
  <c r="K159" i="1"/>
  <c r="H159" i="1"/>
  <c r="I159" i="1" s="1"/>
  <c r="J159" i="1" s="1"/>
  <c r="L158" i="1"/>
  <c r="K158" i="1"/>
  <c r="H158" i="1"/>
  <c r="L157" i="1"/>
  <c r="K157" i="1"/>
  <c r="H157" i="1"/>
  <c r="I157" i="1" s="1"/>
  <c r="J157" i="1" s="1"/>
  <c r="L156" i="1"/>
  <c r="K156" i="1"/>
  <c r="H156" i="1"/>
  <c r="I156" i="1" s="1"/>
  <c r="J156" i="1" s="1"/>
  <c r="L155" i="1"/>
  <c r="K155" i="1"/>
  <c r="H155" i="1"/>
  <c r="L154" i="1"/>
  <c r="K154" i="1"/>
  <c r="H154" i="1"/>
  <c r="L153" i="1"/>
  <c r="K153" i="1"/>
  <c r="H153" i="1"/>
  <c r="I153" i="1" s="1"/>
  <c r="J153" i="1" s="1"/>
  <c r="L152" i="1"/>
  <c r="K152" i="1"/>
  <c r="H152" i="1"/>
  <c r="L151" i="1"/>
  <c r="K151" i="1"/>
  <c r="H151" i="1"/>
  <c r="L150" i="1"/>
  <c r="K150" i="1"/>
  <c r="H150" i="1"/>
  <c r="L149" i="1"/>
  <c r="K149" i="1"/>
  <c r="H149" i="1"/>
  <c r="I149" i="1" s="1"/>
  <c r="J149" i="1" s="1"/>
  <c r="L148" i="1"/>
  <c r="K148" i="1"/>
  <c r="H148" i="1"/>
  <c r="L147" i="1"/>
  <c r="K147" i="1"/>
  <c r="H147" i="1"/>
  <c r="L146" i="1"/>
  <c r="K146" i="1"/>
  <c r="H146" i="1"/>
  <c r="L145" i="1"/>
  <c r="K145" i="1"/>
  <c r="H145" i="1"/>
  <c r="I145" i="1" s="1"/>
  <c r="J145" i="1" s="1"/>
  <c r="L144" i="1"/>
  <c r="K144" i="1"/>
  <c r="H144" i="1"/>
  <c r="I144" i="1" s="1"/>
  <c r="J144" i="1" s="1"/>
  <c r="L143" i="1"/>
  <c r="K143" i="1"/>
  <c r="H143" i="1"/>
  <c r="L142" i="1"/>
  <c r="K142" i="1"/>
  <c r="H142" i="1"/>
  <c r="L141" i="1"/>
  <c r="K141" i="1"/>
  <c r="H141" i="1"/>
  <c r="I141" i="1" s="1"/>
  <c r="J141" i="1" s="1"/>
  <c r="L140" i="1"/>
  <c r="K140" i="1"/>
  <c r="H140" i="1"/>
  <c r="I140" i="1" s="1"/>
  <c r="J140" i="1" s="1"/>
  <c r="L139" i="1"/>
  <c r="K139" i="1"/>
  <c r="H139" i="1"/>
  <c r="L138" i="1"/>
  <c r="K138" i="1"/>
  <c r="H138" i="1"/>
  <c r="L137" i="1"/>
  <c r="K137" i="1"/>
  <c r="H137" i="1"/>
  <c r="I137" i="1" s="1"/>
  <c r="J137" i="1" s="1"/>
  <c r="L136" i="1"/>
  <c r="K136" i="1"/>
  <c r="H136" i="1"/>
  <c r="I136" i="1" s="1"/>
  <c r="J136" i="1" s="1"/>
  <c r="L135" i="1"/>
  <c r="K135" i="1"/>
  <c r="H135" i="1"/>
  <c r="L134" i="1"/>
  <c r="K134" i="1"/>
  <c r="H134" i="1"/>
  <c r="L133" i="1"/>
  <c r="K133" i="1"/>
  <c r="H133" i="1"/>
  <c r="I133" i="1" s="1"/>
  <c r="J133" i="1" s="1"/>
  <c r="L132" i="1"/>
  <c r="K132" i="1"/>
  <c r="H132" i="1"/>
  <c r="I132" i="1" s="1"/>
  <c r="J132" i="1" s="1"/>
  <c r="L131" i="1"/>
  <c r="K131" i="1"/>
  <c r="H131" i="1"/>
  <c r="L130" i="1"/>
  <c r="K130" i="1"/>
  <c r="H130" i="1"/>
  <c r="L129" i="1"/>
  <c r="K129" i="1"/>
  <c r="H129" i="1"/>
  <c r="I129" i="1" s="1"/>
  <c r="J129" i="1" s="1"/>
  <c r="L128" i="1"/>
  <c r="K128" i="1"/>
  <c r="H128" i="1"/>
  <c r="I128" i="1" s="1"/>
  <c r="J128" i="1" s="1"/>
  <c r="L127" i="1"/>
  <c r="K127" i="1"/>
  <c r="H127" i="1"/>
  <c r="I127" i="1" s="1"/>
  <c r="J127" i="1" s="1"/>
  <c r="L126" i="1"/>
  <c r="K126" i="1"/>
  <c r="H126" i="1"/>
  <c r="L125" i="1"/>
  <c r="K125" i="1"/>
  <c r="H125" i="1"/>
  <c r="I125" i="1" s="1"/>
  <c r="J125" i="1" s="1"/>
  <c r="L124" i="1"/>
  <c r="K124" i="1"/>
  <c r="H124" i="1"/>
  <c r="I124" i="1" s="1"/>
  <c r="J124" i="1" s="1"/>
  <c r="L123" i="1"/>
  <c r="K123" i="1"/>
  <c r="H123" i="1"/>
  <c r="L122" i="1"/>
  <c r="K122" i="1"/>
  <c r="H122" i="1"/>
  <c r="L121" i="1"/>
  <c r="K121" i="1"/>
  <c r="H121" i="1"/>
  <c r="L120" i="1"/>
  <c r="K120" i="1"/>
  <c r="H120" i="1"/>
  <c r="L119" i="1"/>
  <c r="K119" i="1"/>
  <c r="H119" i="1"/>
  <c r="L118" i="1"/>
  <c r="K118" i="1"/>
  <c r="H118" i="1"/>
  <c r="L117" i="1"/>
  <c r="K117" i="1"/>
  <c r="H117" i="1"/>
  <c r="I117" i="1" s="1"/>
  <c r="J117" i="1" s="1"/>
  <c r="L116" i="1"/>
  <c r="K116" i="1"/>
  <c r="H116" i="1"/>
  <c r="L115" i="1"/>
  <c r="K115" i="1"/>
  <c r="H115" i="1"/>
  <c r="L114" i="1"/>
  <c r="K114" i="1"/>
  <c r="H114" i="1"/>
  <c r="L113" i="1"/>
  <c r="K113" i="1"/>
  <c r="H113" i="1"/>
  <c r="I113" i="1" s="1"/>
  <c r="J113" i="1" s="1"/>
  <c r="L112" i="1"/>
  <c r="K112" i="1"/>
  <c r="H112" i="1"/>
  <c r="L111" i="1"/>
  <c r="K111" i="1"/>
  <c r="H111" i="1"/>
  <c r="L110" i="1"/>
  <c r="K110" i="1"/>
  <c r="H110" i="1"/>
  <c r="L109" i="1"/>
  <c r="K109" i="1"/>
  <c r="H109" i="1"/>
  <c r="L108" i="1"/>
  <c r="K108" i="1"/>
  <c r="H108" i="1"/>
  <c r="L107" i="1"/>
  <c r="K107" i="1"/>
  <c r="H107" i="1"/>
  <c r="L106" i="1"/>
  <c r="K106" i="1"/>
  <c r="H106" i="1"/>
  <c r="L105" i="1"/>
  <c r="K105" i="1"/>
  <c r="H105" i="1"/>
  <c r="I105" i="1" s="1"/>
  <c r="J105" i="1" s="1"/>
  <c r="L104" i="1"/>
  <c r="K104" i="1"/>
  <c r="H104" i="1"/>
  <c r="L103" i="1"/>
  <c r="K103" i="1"/>
  <c r="H103" i="1"/>
  <c r="L102" i="1"/>
  <c r="K102" i="1"/>
  <c r="H102" i="1"/>
  <c r="L101" i="1"/>
  <c r="K101" i="1"/>
  <c r="H101" i="1"/>
  <c r="L100" i="1"/>
  <c r="K100" i="1"/>
  <c r="H100" i="1"/>
  <c r="L99" i="1"/>
  <c r="K99" i="1"/>
  <c r="H99" i="1"/>
  <c r="L98" i="1"/>
  <c r="K98" i="1"/>
  <c r="H98" i="1"/>
  <c r="L97" i="1"/>
  <c r="K97" i="1"/>
  <c r="H97" i="1"/>
  <c r="L96" i="1"/>
  <c r="K96" i="1"/>
  <c r="H96" i="1"/>
  <c r="L95" i="1"/>
  <c r="K95" i="1"/>
  <c r="H95" i="1"/>
  <c r="L94" i="1"/>
  <c r="K94" i="1"/>
  <c r="H94" i="1"/>
  <c r="L93" i="1"/>
  <c r="K93" i="1"/>
  <c r="H93" i="1"/>
  <c r="L92" i="1"/>
  <c r="K92" i="1"/>
  <c r="H92" i="1"/>
  <c r="L91" i="1"/>
  <c r="K91" i="1"/>
  <c r="H91" i="1"/>
  <c r="L90" i="1"/>
  <c r="K90" i="1"/>
  <c r="H90" i="1"/>
  <c r="L89" i="1"/>
  <c r="K89" i="1"/>
  <c r="H89" i="1"/>
  <c r="L88" i="1"/>
  <c r="K88" i="1"/>
  <c r="H88" i="1"/>
  <c r="L87" i="1"/>
  <c r="K87" i="1"/>
  <c r="H87" i="1"/>
  <c r="L86" i="1"/>
  <c r="K86" i="1"/>
  <c r="H86" i="1"/>
  <c r="L85" i="1"/>
  <c r="K85" i="1"/>
  <c r="H85" i="1"/>
  <c r="L84" i="1"/>
  <c r="K84" i="1"/>
  <c r="H84" i="1"/>
  <c r="L83" i="1"/>
  <c r="K83" i="1"/>
  <c r="H83" i="1"/>
  <c r="L82" i="1"/>
  <c r="K82" i="1"/>
  <c r="H82" i="1"/>
  <c r="L81" i="1"/>
  <c r="K81" i="1"/>
  <c r="H81" i="1"/>
  <c r="I81" i="1" s="1"/>
  <c r="J81" i="1" s="1"/>
  <c r="L80" i="1"/>
  <c r="K80" i="1"/>
  <c r="H80" i="1"/>
  <c r="L79" i="1"/>
  <c r="K79" i="1"/>
  <c r="H79" i="1"/>
  <c r="L78" i="1"/>
  <c r="K78" i="1"/>
  <c r="H78" i="1"/>
  <c r="L77" i="1"/>
  <c r="K77" i="1"/>
  <c r="H77" i="1"/>
  <c r="I77" i="1" s="1"/>
  <c r="J77" i="1" s="1"/>
  <c r="L76" i="1"/>
  <c r="K76" i="1"/>
  <c r="H76" i="1"/>
  <c r="L75" i="1"/>
  <c r="K75" i="1"/>
  <c r="H75" i="1"/>
  <c r="L74" i="1"/>
  <c r="K74" i="1"/>
  <c r="H74" i="1"/>
  <c r="L73" i="1"/>
  <c r="K73" i="1"/>
  <c r="H73" i="1"/>
  <c r="I73" i="1" s="1"/>
  <c r="J73" i="1" s="1"/>
  <c r="L72" i="1"/>
  <c r="K72" i="1"/>
  <c r="H72" i="1"/>
  <c r="L71" i="1"/>
  <c r="K71" i="1"/>
  <c r="H71" i="1"/>
  <c r="L70" i="1"/>
  <c r="K70" i="1"/>
  <c r="H70" i="1"/>
  <c r="L69" i="1"/>
  <c r="K69" i="1"/>
  <c r="H69" i="1"/>
  <c r="I69" i="1" s="1"/>
  <c r="J69" i="1" s="1"/>
  <c r="L68" i="1"/>
  <c r="K68" i="1"/>
  <c r="H68" i="1"/>
  <c r="L67" i="1"/>
  <c r="K67" i="1"/>
  <c r="H67" i="1"/>
  <c r="L66" i="1"/>
  <c r="K66" i="1"/>
  <c r="H66" i="1"/>
  <c r="L65" i="1"/>
  <c r="K65" i="1"/>
  <c r="H65" i="1"/>
  <c r="L64" i="1"/>
  <c r="K64" i="1"/>
  <c r="H64" i="1"/>
  <c r="L63" i="1"/>
  <c r="K63" i="1"/>
  <c r="H63" i="1"/>
  <c r="L62" i="1"/>
  <c r="K62" i="1"/>
  <c r="H62" i="1"/>
  <c r="L61" i="1"/>
  <c r="K61" i="1"/>
  <c r="H61" i="1"/>
  <c r="I61" i="1" s="1"/>
  <c r="J61" i="1" s="1"/>
  <c r="L60" i="1"/>
  <c r="K60" i="1"/>
  <c r="H60" i="1"/>
  <c r="L59" i="1"/>
  <c r="K59" i="1"/>
  <c r="H59" i="1"/>
  <c r="L58" i="1"/>
  <c r="K58" i="1"/>
  <c r="H58" i="1"/>
  <c r="L57" i="1"/>
  <c r="K57" i="1"/>
  <c r="H57" i="1"/>
  <c r="L56" i="1"/>
  <c r="K56" i="1"/>
  <c r="H56" i="1"/>
  <c r="L55" i="1"/>
  <c r="K55" i="1"/>
  <c r="H55" i="1"/>
  <c r="L54" i="1"/>
  <c r="K54" i="1"/>
  <c r="H54" i="1"/>
  <c r="L53" i="1"/>
  <c r="K53" i="1"/>
  <c r="H53" i="1"/>
  <c r="I53" i="1" s="1"/>
  <c r="J53" i="1" s="1"/>
  <c r="L52" i="1"/>
  <c r="K52" i="1"/>
  <c r="H52" i="1"/>
  <c r="L51" i="1"/>
  <c r="K51" i="1"/>
  <c r="H51" i="1"/>
  <c r="L50" i="1"/>
  <c r="K50" i="1"/>
  <c r="H50" i="1"/>
  <c r="L49" i="1"/>
  <c r="K49" i="1"/>
  <c r="H49" i="1"/>
  <c r="I49" i="1" s="1"/>
  <c r="J49" i="1" s="1"/>
  <c r="L48" i="1"/>
  <c r="K48" i="1"/>
  <c r="H48" i="1"/>
  <c r="L47" i="1"/>
  <c r="K47" i="1"/>
  <c r="H47" i="1"/>
  <c r="L46" i="1"/>
  <c r="K46" i="1"/>
  <c r="H46" i="1"/>
  <c r="L45" i="1"/>
  <c r="K45" i="1"/>
  <c r="H45" i="1"/>
  <c r="L44" i="1"/>
  <c r="K44" i="1"/>
  <c r="H44" i="1"/>
  <c r="L43" i="1"/>
  <c r="K43" i="1"/>
  <c r="H43" i="1"/>
  <c r="L42" i="1"/>
  <c r="K42" i="1"/>
  <c r="I56" i="4" s="1"/>
  <c r="H42" i="1"/>
  <c r="L41" i="1"/>
  <c r="K41" i="1"/>
  <c r="H41" i="1"/>
  <c r="I41" i="1" s="1"/>
  <c r="J41" i="1" s="1"/>
  <c r="L40" i="1"/>
  <c r="K40" i="1"/>
  <c r="H40" i="1"/>
  <c r="L39" i="1"/>
  <c r="K39" i="1"/>
  <c r="H39" i="1"/>
  <c r="L38" i="1"/>
  <c r="K38" i="1"/>
  <c r="H38" i="1"/>
  <c r="L37" i="1"/>
  <c r="K37" i="1"/>
  <c r="H37" i="1"/>
  <c r="I37" i="1" s="1"/>
  <c r="J37" i="1" s="1"/>
  <c r="L36" i="1"/>
  <c r="K36" i="1"/>
  <c r="H36" i="1"/>
  <c r="L35" i="1"/>
  <c r="K35" i="1"/>
  <c r="H35" i="1"/>
  <c r="L34" i="1"/>
  <c r="K34" i="1"/>
  <c r="H34" i="1"/>
  <c r="L33" i="1"/>
  <c r="K33" i="1"/>
  <c r="H33" i="1"/>
  <c r="I33" i="1" s="1"/>
  <c r="J33" i="1" s="1"/>
  <c r="L32" i="1"/>
  <c r="K32" i="1"/>
  <c r="H32" i="1"/>
  <c r="L31" i="1"/>
  <c r="K31" i="1"/>
  <c r="H31" i="1"/>
  <c r="L30" i="1"/>
  <c r="K30" i="1"/>
  <c r="H30" i="1"/>
  <c r="L29" i="1"/>
  <c r="K29" i="1"/>
  <c r="H29" i="1"/>
  <c r="L28" i="1"/>
  <c r="K28" i="1"/>
  <c r="H28" i="1"/>
  <c r="I28" i="1" s="1"/>
  <c r="J28" i="1" s="1"/>
  <c r="L27" i="1"/>
  <c r="K27" i="1"/>
  <c r="H27" i="1"/>
  <c r="I27" i="1" s="1"/>
  <c r="J27" i="1" s="1"/>
  <c r="L26" i="1"/>
  <c r="K26" i="1"/>
  <c r="H26" i="1"/>
  <c r="L25" i="1"/>
  <c r="K25" i="1"/>
  <c r="H25" i="1"/>
  <c r="L24" i="1"/>
  <c r="K24" i="1"/>
  <c r="H24" i="1"/>
  <c r="I24" i="1" s="1"/>
  <c r="J24" i="1" s="1"/>
  <c r="L23" i="1"/>
  <c r="K23" i="1"/>
  <c r="H23" i="1"/>
  <c r="I23" i="1" s="1"/>
  <c r="J23" i="1" s="1"/>
  <c r="L22" i="1"/>
  <c r="K22" i="1"/>
  <c r="H22" i="1"/>
  <c r="L21" i="1"/>
  <c r="K21" i="1"/>
  <c r="H21" i="1"/>
  <c r="L20" i="1"/>
  <c r="K20" i="1"/>
  <c r="H20" i="1"/>
  <c r="L19" i="1"/>
  <c r="K19" i="1"/>
  <c r="H19" i="1"/>
  <c r="I19" i="1" s="1"/>
  <c r="J19" i="1" s="1"/>
  <c r="L18" i="1"/>
  <c r="K18" i="1"/>
  <c r="H18" i="1"/>
  <c r="L17" i="1"/>
  <c r="K17" i="1"/>
  <c r="H17" i="1"/>
  <c r="L16" i="1"/>
  <c r="K16" i="1"/>
  <c r="H16" i="1"/>
  <c r="L15" i="1"/>
  <c r="K15" i="1"/>
  <c r="H15" i="1"/>
  <c r="I15" i="1" s="1"/>
  <c r="J15" i="1" s="1"/>
  <c r="L14" i="1"/>
  <c r="K14" i="1"/>
  <c r="H14" i="1"/>
  <c r="I14" i="1" s="1"/>
  <c r="J14" i="1" s="1"/>
  <c r="L13" i="1"/>
  <c r="K13" i="1"/>
  <c r="H13" i="1"/>
  <c r="L12" i="1"/>
  <c r="K12" i="1"/>
  <c r="H12" i="1"/>
  <c r="L11" i="1"/>
  <c r="K11" i="1"/>
  <c r="H11" i="1"/>
  <c r="L10" i="1"/>
  <c r="K10" i="1"/>
  <c r="H10" i="1"/>
  <c r="I10" i="1" s="1"/>
  <c r="J10" i="1" s="1"/>
  <c r="L9" i="1"/>
  <c r="K9" i="1"/>
  <c r="H9" i="1"/>
  <c r="L8" i="1"/>
  <c r="K8" i="1"/>
  <c r="H8" i="1"/>
  <c r="I8" i="1" s="1"/>
  <c r="J8" i="1" s="1"/>
  <c r="L7" i="1"/>
  <c r="K7" i="1"/>
  <c r="H7" i="1"/>
  <c r="L6" i="1"/>
  <c r="K6" i="1"/>
  <c r="H6" i="1"/>
  <c r="L5" i="1"/>
  <c r="K5" i="1"/>
  <c r="H5" i="1"/>
  <c r="L4" i="1"/>
  <c r="K4" i="1"/>
  <c r="H4" i="1"/>
  <c r="L3" i="1"/>
  <c r="K3" i="1"/>
  <c r="L2" i="1"/>
  <c r="K2" i="1"/>
  <c r="I274" i="1" l="1"/>
  <c r="J274" i="1" s="1"/>
  <c r="I203" i="1"/>
  <c r="J203" i="1" s="1"/>
  <c r="I258" i="1"/>
  <c r="J258" i="1" s="1"/>
  <c r="I186" i="1"/>
  <c r="J186" i="1" s="1"/>
  <c r="I263" i="1"/>
  <c r="J263" i="1" s="1"/>
  <c r="I65" i="1"/>
  <c r="J65" i="1" s="1"/>
  <c r="I30" i="1"/>
  <c r="J30" i="1" s="1"/>
  <c r="I110" i="1"/>
  <c r="J110" i="1" s="1"/>
  <c r="I146" i="1"/>
  <c r="J146" i="1" s="1"/>
  <c r="I250" i="1"/>
  <c r="J250" i="1" s="1"/>
  <c r="I90" i="1"/>
  <c r="J90" i="1" s="1"/>
  <c r="I97" i="1"/>
  <c r="J97" i="1" s="1"/>
  <c r="I179" i="1"/>
  <c r="J179" i="1" s="1"/>
  <c r="I199" i="1"/>
  <c r="J199" i="1" s="1"/>
  <c r="I218" i="1"/>
  <c r="J218" i="1" s="1"/>
  <c r="I109" i="1"/>
  <c r="J109" i="1" s="1"/>
  <c r="I162" i="1"/>
  <c r="J162" i="1" s="1"/>
  <c r="I227" i="1"/>
  <c r="J227" i="1" s="1"/>
  <c r="I82" i="1"/>
  <c r="J82" i="1" s="1"/>
  <c r="I84" i="1"/>
  <c r="J84" i="1" s="1"/>
  <c r="I86" i="1"/>
  <c r="J86" i="1" s="1"/>
  <c r="I93" i="1"/>
  <c r="J93" i="1" s="1"/>
  <c r="I102" i="1"/>
  <c r="J102" i="1" s="1"/>
  <c r="I182" i="1"/>
  <c r="J182" i="1" s="1"/>
  <c r="I239" i="1"/>
  <c r="J239" i="1" s="1"/>
  <c r="I46" i="1"/>
  <c r="J46" i="1" s="1"/>
  <c r="I70" i="1"/>
  <c r="J70" i="1" s="1"/>
  <c r="I29" i="1"/>
  <c r="J29" i="1" s="1"/>
  <c r="I214" i="1"/>
  <c r="J214" i="1" s="1"/>
  <c r="I17" i="1"/>
  <c r="J17" i="1" s="1"/>
  <c r="I38" i="1"/>
  <c r="J38" i="1" s="1"/>
  <c r="I45" i="1"/>
  <c r="J45" i="1" s="1"/>
  <c r="I57" i="1"/>
  <c r="J57" i="1" s="1"/>
  <c r="I78" i="1"/>
  <c r="J78" i="1" s="1"/>
  <c r="I89" i="1"/>
  <c r="J89" i="1" s="1"/>
  <c r="I98" i="1"/>
  <c r="J98" i="1" s="1"/>
  <c r="I230" i="1"/>
  <c r="J230" i="1" s="1"/>
  <c r="I235" i="1"/>
  <c r="J235" i="1" s="1"/>
  <c r="I254" i="1"/>
  <c r="J254" i="1" s="1"/>
  <c r="I6" i="1"/>
  <c r="J6" i="1" s="1"/>
  <c r="I226" i="1"/>
  <c r="J226" i="1" s="1"/>
  <c r="I26" i="1"/>
  <c r="J26" i="1" s="1"/>
  <c r="I85" i="1"/>
  <c r="J85" i="1" s="1"/>
  <c r="I94" i="1"/>
  <c r="J94" i="1" s="1"/>
  <c r="I101" i="1"/>
  <c r="J101" i="1" s="1"/>
  <c r="I130" i="1"/>
  <c r="J130" i="1" s="1"/>
  <c r="I122" i="1"/>
  <c r="J122" i="1" s="1"/>
  <c r="I166" i="1"/>
  <c r="J166" i="1" s="1"/>
  <c r="I282" i="1"/>
  <c r="J282" i="1" s="1"/>
  <c r="I25" i="1"/>
  <c r="J25" i="1" s="1"/>
  <c r="I278" i="1"/>
  <c r="J278" i="1" s="1"/>
  <c r="I2" i="1"/>
  <c r="J2" i="1" s="1"/>
  <c r="I135" i="1"/>
  <c r="J135" i="1" s="1"/>
  <c r="I147" i="1"/>
  <c r="J147" i="1" s="1"/>
  <c r="I231" i="1"/>
  <c r="J231" i="1" s="1"/>
  <c r="I21" i="1"/>
  <c r="J21" i="1" s="1"/>
  <c r="I131" i="1"/>
  <c r="J131" i="1" s="1"/>
  <c r="I139" i="1"/>
  <c r="J139" i="1" s="1"/>
  <c r="I154" i="1"/>
  <c r="J154" i="1" s="1"/>
  <c r="I211" i="1"/>
  <c r="J211" i="1" s="1"/>
  <c r="I215" i="1"/>
  <c r="J215" i="1" s="1"/>
  <c r="I270" i="1"/>
  <c r="J270" i="1" s="1"/>
  <c r="I20" i="1"/>
  <c r="J20" i="1" s="1"/>
  <c r="I36" i="1"/>
  <c r="J36" i="1" s="1"/>
  <c r="I52" i="1"/>
  <c r="J52" i="1" s="1"/>
  <c r="I58" i="1"/>
  <c r="J58" i="1" s="1"/>
  <c r="I60" i="1"/>
  <c r="J60" i="1" s="1"/>
  <c r="I66" i="1"/>
  <c r="J66" i="1" s="1"/>
  <c r="I68" i="1"/>
  <c r="J68" i="1" s="1"/>
  <c r="I76" i="1"/>
  <c r="J76" i="1" s="1"/>
  <c r="I116" i="1"/>
  <c r="J116" i="1" s="1"/>
  <c r="I167" i="1"/>
  <c r="J167" i="1" s="1"/>
  <c r="I171" i="1"/>
  <c r="J171" i="1" s="1"/>
  <c r="I190" i="1"/>
  <c r="J190" i="1" s="1"/>
  <c r="I194" i="1"/>
  <c r="J194" i="1" s="1"/>
  <c r="I242" i="1"/>
  <c r="J242" i="1" s="1"/>
  <c r="I34" i="1"/>
  <c r="J34" i="1" s="1"/>
  <c r="I42" i="1"/>
  <c r="J42" i="1" s="1"/>
  <c r="I44" i="1"/>
  <c r="J44" i="1" s="1"/>
  <c r="I50" i="1"/>
  <c r="J50" i="1" s="1"/>
  <c r="I54" i="1"/>
  <c r="J54" i="1" s="1"/>
  <c r="I62" i="1"/>
  <c r="J62" i="1" s="1"/>
  <c r="I74" i="1"/>
  <c r="J74" i="1" s="1"/>
  <c r="I92" i="1"/>
  <c r="J92" i="1" s="1"/>
  <c r="I100" i="1"/>
  <c r="J100" i="1" s="1"/>
  <c r="I106" i="1"/>
  <c r="J106" i="1" s="1"/>
  <c r="I108" i="1"/>
  <c r="J108" i="1" s="1"/>
  <c r="I114" i="1"/>
  <c r="J114" i="1" s="1"/>
  <c r="I150" i="1"/>
  <c r="J150" i="1" s="1"/>
  <c r="I222" i="1"/>
  <c r="J222" i="1" s="1"/>
  <c r="I31" i="1"/>
  <c r="J31" i="1" s="1"/>
  <c r="I39" i="1"/>
  <c r="J39" i="1" s="1"/>
  <c r="I47" i="1"/>
  <c r="J47" i="1" s="1"/>
  <c r="I55" i="1"/>
  <c r="J55" i="1" s="1"/>
  <c r="I63" i="1"/>
  <c r="J63" i="1" s="1"/>
  <c r="I71" i="1"/>
  <c r="J71" i="1" s="1"/>
  <c r="I79" i="1"/>
  <c r="J79" i="1" s="1"/>
  <c r="I87" i="1"/>
  <c r="J87" i="1" s="1"/>
  <c r="I95" i="1"/>
  <c r="J95" i="1" s="1"/>
  <c r="I103" i="1"/>
  <c r="J103" i="1" s="1"/>
  <c r="I111" i="1"/>
  <c r="J111" i="1" s="1"/>
  <c r="I142" i="1"/>
  <c r="J142" i="1" s="1"/>
  <c r="I170" i="1"/>
  <c r="J170" i="1" s="1"/>
  <c r="I187" i="1"/>
  <c r="J187" i="1" s="1"/>
  <c r="I5" i="1"/>
  <c r="J5" i="1" s="1"/>
  <c r="I9" i="1"/>
  <c r="J9" i="1" s="1"/>
  <c r="I13" i="1"/>
  <c r="J13" i="1" s="1"/>
  <c r="I118" i="1"/>
  <c r="J118" i="1" s="1"/>
  <c r="I148" i="1"/>
  <c r="J148" i="1" s="1"/>
  <c r="I174" i="1"/>
  <c r="J174" i="1" s="1"/>
  <c r="I16" i="1"/>
  <c r="J16" i="1" s="1"/>
  <c r="I120" i="1"/>
  <c r="J120" i="1" s="1"/>
  <c r="I152" i="1"/>
  <c r="J152" i="1" s="1"/>
  <c r="I163" i="1"/>
  <c r="J163" i="1" s="1"/>
  <c r="I178" i="1"/>
  <c r="J178" i="1" s="1"/>
  <c r="I198" i="1"/>
  <c r="J198" i="1" s="1"/>
  <c r="I202" i="1"/>
  <c r="J202" i="1" s="1"/>
  <c r="I219" i="1"/>
  <c r="J219" i="1" s="1"/>
  <c r="I247" i="1"/>
  <c r="J247" i="1" s="1"/>
  <c r="I22" i="1"/>
  <c r="J22" i="1" s="1"/>
  <c r="I126" i="1"/>
  <c r="J126" i="1" s="1"/>
  <c r="I180" i="1"/>
  <c r="J180" i="1" s="1"/>
  <c r="I206" i="1"/>
  <c r="J206" i="1" s="1"/>
  <c r="I251" i="1"/>
  <c r="J251" i="1" s="1"/>
  <c r="I12" i="1"/>
  <c r="J12" i="1" s="1"/>
  <c r="I35" i="1"/>
  <c r="J35" i="1" s="1"/>
  <c r="I51" i="1"/>
  <c r="J51" i="1" s="1"/>
  <c r="I75" i="1"/>
  <c r="J75" i="1" s="1"/>
  <c r="I210" i="1"/>
  <c r="J210" i="1" s="1"/>
  <c r="I234" i="1"/>
  <c r="J234" i="1" s="1"/>
  <c r="I25" i="4"/>
  <c r="I271" i="1"/>
  <c r="J271" i="1" s="1"/>
  <c r="J3" i="1"/>
  <c r="I7" i="1"/>
  <c r="J7" i="1" s="1"/>
  <c r="I11" i="1"/>
  <c r="J11" i="1" s="1"/>
  <c r="I18" i="1"/>
  <c r="J18" i="1" s="1"/>
  <c r="I32" i="1"/>
  <c r="J32" i="1" s="1"/>
  <c r="I40" i="1"/>
  <c r="J40" i="1" s="1"/>
  <c r="I48" i="1"/>
  <c r="J48" i="1" s="1"/>
  <c r="I56" i="1"/>
  <c r="J56" i="1" s="1"/>
  <c r="I64" i="1"/>
  <c r="J64" i="1" s="1"/>
  <c r="I72" i="1"/>
  <c r="J72" i="1" s="1"/>
  <c r="I80" i="1"/>
  <c r="J80" i="1" s="1"/>
  <c r="I88" i="1"/>
  <c r="J88" i="1" s="1"/>
  <c r="I96" i="1"/>
  <c r="J96" i="1" s="1"/>
  <c r="I104" i="1"/>
  <c r="J104" i="1" s="1"/>
  <c r="I112" i="1"/>
  <c r="J112" i="1" s="1"/>
  <c r="I119" i="1"/>
  <c r="J119" i="1" s="1"/>
  <c r="I123" i="1"/>
  <c r="J123" i="1" s="1"/>
  <c r="I151" i="1"/>
  <c r="J151" i="1" s="1"/>
  <c r="I175" i="1"/>
  <c r="J175" i="1" s="1"/>
  <c r="I212" i="1"/>
  <c r="J212" i="1" s="1"/>
  <c r="I238" i="1"/>
  <c r="J238" i="1" s="1"/>
  <c r="I262" i="1"/>
  <c r="J262" i="1" s="1"/>
  <c r="I76" i="4"/>
  <c r="I72" i="4"/>
  <c r="I68" i="4"/>
  <c r="I64" i="4"/>
  <c r="I60" i="4"/>
  <c r="I57" i="4"/>
  <c r="I52" i="4"/>
  <c r="I48" i="4"/>
  <c r="I44" i="4"/>
  <c r="I40" i="4"/>
  <c r="I36" i="4"/>
  <c r="I32" i="4"/>
  <c r="I28" i="4"/>
  <c r="I24" i="4"/>
  <c r="I20" i="4"/>
  <c r="I16" i="4"/>
  <c r="I12" i="4"/>
  <c r="I8" i="4"/>
  <c r="I4" i="4"/>
  <c r="I75" i="4"/>
  <c r="I71" i="4"/>
  <c r="I67" i="4"/>
  <c r="I63" i="4"/>
  <c r="I59" i="4"/>
  <c r="I55" i="4"/>
  <c r="I51" i="4"/>
  <c r="I47" i="4"/>
  <c r="I43" i="4"/>
  <c r="I39" i="4"/>
  <c r="I35" i="4"/>
  <c r="I31" i="4"/>
  <c r="I27" i="4"/>
  <c r="I23" i="4"/>
  <c r="I19" i="4"/>
  <c r="I15" i="4"/>
  <c r="I11" i="4"/>
  <c r="I7" i="4"/>
  <c r="I3" i="4"/>
  <c r="I78" i="4"/>
  <c r="I74" i="4"/>
  <c r="I70" i="4"/>
  <c r="I66" i="4"/>
  <c r="I62" i="4"/>
  <c r="I58" i="4"/>
  <c r="I54" i="4"/>
  <c r="I50" i="4"/>
  <c r="I46" i="4"/>
  <c r="I42" i="4"/>
  <c r="I38" i="4"/>
  <c r="I34" i="4"/>
  <c r="I30" i="4"/>
  <c r="I26" i="4"/>
  <c r="I22" i="4"/>
  <c r="I18" i="4"/>
  <c r="I14" i="4"/>
  <c r="I10" i="4"/>
  <c r="I6" i="4"/>
  <c r="I2" i="4"/>
  <c r="I69" i="4"/>
  <c r="I37" i="4"/>
  <c r="I5" i="4"/>
  <c r="I49" i="4"/>
  <c r="I17" i="4"/>
  <c r="I61" i="4"/>
  <c r="I29" i="4"/>
  <c r="I73" i="4"/>
  <c r="I41" i="4"/>
  <c r="I9" i="4"/>
  <c r="I53" i="4"/>
  <c r="I21" i="4"/>
  <c r="I65" i="4"/>
  <c r="I33" i="4"/>
  <c r="I77" i="4"/>
  <c r="I45" i="4"/>
  <c r="I13" i="4"/>
  <c r="I4" i="1"/>
  <c r="J4" i="1" s="1"/>
  <c r="I43" i="1"/>
  <c r="J43" i="1" s="1"/>
  <c r="I83" i="1"/>
  <c r="J83" i="1" s="1"/>
  <c r="I115" i="1"/>
  <c r="J115" i="1" s="1"/>
  <c r="I143" i="1"/>
  <c r="J143" i="1" s="1"/>
  <c r="I158" i="1"/>
  <c r="J158" i="1" s="1"/>
  <c r="I184" i="1"/>
  <c r="J184" i="1" s="1"/>
  <c r="I121" i="1"/>
  <c r="J121" i="1" s="1"/>
  <c r="I155" i="1"/>
  <c r="J155" i="1" s="1"/>
  <c r="I216" i="1"/>
  <c r="J216" i="1" s="1"/>
  <c r="I59" i="1"/>
  <c r="J59" i="1" s="1"/>
  <c r="I67" i="1"/>
  <c r="J67" i="1" s="1"/>
  <c r="I91" i="1"/>
  <c r="J91" i="1" s="1"/>
  <c r="I99" i="1"/>
  <c r="J99" i="1" s="1"/>
  <c r="I107" i="1"/>
  <c r="J107" i="1" s="1"/>
  <c r="I134" i="1"/>
  <c r="J134" i="1" s="1"/>
  <c r="I138" i="1"/>
  <c r="J138" i="1" s="1"/>
  <c r="I207" i="1"/>
  <c r="J207" i="1" s="1"/>
  <c r="I244" i="1"/>
  <c r="J244" i="1" s="1"/>
  <c r="I248" i="1"/>
  <c r="J248" i="1" s="1"/>
  <c r="I283" i="1"/>
  <c r="J283" i="1" s="1"/>
  <c r="I279" i="1"/>
  <c r="J279" i="1" s="1"/>
  <c r="I275" i="1"/>
  <c r="J275" i="1" s="1"/>
  <c r="I266" i="1"/>
  <c r="J266" i="1" s="1"/>
  <c r="I246" i="1"/>
  <c r="J246" i="1" s="1"/>
  <c r="J62" i="4"/>
  <c r="J44" i="4"/>
  <c r="J63" i="4"/>
  <c r="J9" i="4"/>
  <c r="J73" i="4"/>
  <c r="J10" i="4"/>
  <c r="J74" i="4"/>
  <c r="J13" i="4"/>
  <c r="J77" i="4"/>
  <c r="J8" i="4"/>
  <c r="J33" i="4"/>
  <c r="J35" i="4"/>
  <c r="J34" i="4"/>
  <c r="J43" i="4"/>
  <c r="J23" i="4"/>
  <c r="J22" i="4"/>
  <c r="J46" i="4"/>
  <c r="J75" i="4"/>
  <c r="J47" i="4"/>
  <c r="J20" i="4"/>
  <c r="J57" i="4"/>
  <c r="J28" i="4"/>
  <c r="J58" i="4"/>
  <c r="J52" i="4"/>
  <c r="J61" i="4"/>
  <c r="J7" i="4"/>
  <c r="J71" i="4"/>
  <c r="J17" i="4"/>
  <c r="J3" i="4"/>
  <c r="J18" i="4"/>
  <c r="J11" i="4"/>
  <c r="J21" i="4"/>
  <c r="J16" i="4"/>
  <c r="J37" i="4"/>
  <c r="J30" i="4"/>
  <c r="J78" i="4"/>
  <c r="J32" i="4"/>
  <c r="J15" i="4"/>
  <c r="J31" i="4"/>
  <c r="J2" i="4"/>
  <c r="J48" i="4"/>
  <c r="J25" i="4"/>
  <c r="J41" i="4"/>
  <c r="J19" i="4"/>
  <c r="J51" i="4"/>
  <c r="J26" i="4"/>
  <c r="J42" i="4"/>
  <c r="J27" i="4"/>
  <c r="J59" i="4"/>
  <c r="J29" i="4"/>
  <c r="J45" i="4"/>
  <c r="J40" i="4"/>
  <c r="J36" i="4"/>
  <c r="J24" i="4"/>
  <c r="J64" i="4"/>
  <c r="J70" i="4"/>
  <c r="J14" i="4"/>
  <c r="J38" i="4"/>
  <c r="J54" i="4"/>
  <c r="J56" i="4"/>
  <c r="J12" i="4"/>
  <c r="J39" i="4"/>
  <c r="J55" i="4"/>
  <c r="J72" i="4"/>
  <c r="J60" i="4"/>
  <c r="J49" i="4"/>
  <c r="J65" i="4"/>
  <c r="J67" i="4"/>
  <c r="J68" i="4"/>
  <c r="J50" i="4"/>
  <c r="J66" i="4"/>
  <c r="J4" i="4"/>
  <c r="J5" i="4"/>
  <c r="J53" i="4"/>
  <c r="J69" i="4"/>
  <c r="J76" i="4"/>
  <c r="J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Noel M. Peterson</author>
  </authors>
  <commentList>
    <comment ref="A1" authorId="0" shapeId="0" xr:uid="{00000000-0006-0000-0000-000001000000}">
      <text>
        <r>
          <rPr>
            <sz val="9"/>
            <color rgb="FF000000"/>
            <rFont val="Tahoma"/>
            <family val="2"/>
          </rPr>
          <t>Place GEOID identifier, as assigned by U.S. Census Bureau</t>
        </r>
      </text>
    </comment>
    <comment ref="B1" authorId="0" shapeId="0" xr:uid="{00000000-0006-0000-0000-000002000000}">
      <text>
        <r>
          <rPr>
            <sz val="9"/>
            <color rgb="FF000000"/>
            <rFont val="Tahoma"/>
            <family val="2"/>
          </rPr>
          <t>Municipality name for each of the 284 munis in the CMAP region</t>
        </r>
      </text>
    </comment>
    <comment ref="C1" authorId="0" shapeId="0" xr:uid="{00000000-0006-0000-0000-000003000000}">
      <text>
        <r>
          <rPr>
            <b/>
            <sz val="9"/>
            <color rgb="FF000000"/>
            <rFont val="Tahoma"/>
            <family val="2"/>
          </rPr>
          <t xml:space="preserve">INPUT: </t>
        </r>
        <r>
          <rPr>
            <sz val="9"/>
            <color rgb="FF000000"/>
            <rFont val="Tahoma"/>
            <family val="2"/>
          </rPr>
          <t>2024 population estimate from 5-year American Community Survey (2020-2024)</t>
        </r>
      </text>
    </comment>
    <comment ref="D1" authorId="0" shapeId="0" xr:uid="{B2CDFB66-6486-4288-A8E2-558583D5E2B7}">
      <text>
        <r>
          <rPr>
            <b/>
            <sz val="9"/>
            <color rgb="FF000000"/>
            <rFont val="Tahoma"/>
            <family val="2"/>
          </rPr>
          <t xml:space="preserve">INPUT: </t>
        </r>
        <r>
          <rPr>
            <sz val="9"/>
            <color rgb="FF000000"/>
            <rFont val="Tahoma"/>
            <family val="2"/>
          </rPr>
          <t>Median household income in 2024 dollars, from 2020-2024 5-year ACS</t>
        </r>
      </text>
    </comment>
    <comment ref="E1" authorId="0" shapeId="0" xr:uid="{00000000-0006-0000-0000-000005000000}">
      <text>
        <r>
          <rPr>
            <b/>
            <sz val="9"/>
            <color rgb="FF000000"/>
            <rFont val="Tahoma"/>
            <family val="2"/>
          </rPr>
          <t xml:space="preserve">INPUT: </t>
        </r>
        <r>
          <rPr>
            <sz val="9"/>
            <color rgb="FF000000"/>
            <rFont val="Tahoma"/>
            <family val="2"/>
          </rPr>
          <t>2024 total retail sales from IL Dept. of Revenue</t>
        </r>
      </text>
    </comment>
    <comment ref="F1" authorId="0" shapeId="0" xr:uid="{00000000-0006-0000-0000-000006000000}">
      <text>
        <r>
          <rPr>
            <b/>
            <sz val="9"/>
            <color rgb="FF000000"/>
            <rFont val="Tahoma"/>
            <family val="2"/>
          </rPr>
          <t xml:space="preserve">INPUT: </t>
        </r>
        <r>
          <rPr>
            <sz val="9"/>
            <color rgb="FF000000"/>
            <rFont val="Tahoma"/>
            <family val="2"/>
          </rPr>
          <t>2023 total equalized assessed value from IL Dept. of Revenue</t>
        </r>
      </text>
    </comment>
    <comment ref="G1" authorId="0" shapeId="0" xr:uid="{37C7737E-3758-43A8-AE1D-AFE76001D2BC}">
      <text>
        <r>
          <rPr>
            <b/>
            <sz val="9"/>
            <color rgb="FF000000"/>
            <rFont val="Tahoma"/>
            <family val="2"/>
          </rPr>
          <t xml:space="preserve">INPUT: </t>
        </r>
        <r>
          <rPr>
            <sz val="9"/>
            <color rgb="FF000000"/>
            <rFont val="Tahoma"/>
            <family val="2"/>
          </rPr>
          <t>Percent of population living in a disinvested area (DA), calculated from 2020 Census block centroids and CMAP ON TO 2050 disinvested areas layer</t>
        </r>
      </text>
    </comment>
    <comment ref="H1" authorId="0" shapeId="0" xr:uid="{00000000-0006-0000-0000-000008000000}">
      <text>
        <r>
          <rPr>
            <b/>
            <sz val="9"/>
            <color rgb="FF000000"/>
            <rFont val="Tahoma"/>
            <family val="2"/>
          </rPr>
          <t>DERIVED:</t>
        </r>
        <r>
          <rPr>
            <sz val="9"/>
            <color rgb="FF000000"/>
            <rFont val="Tahoma"/>
            <family val="2"/>
          </rPr>
          <t xml:space="preserve"> Total tax base (i.e. RET_SALES + TOT_EAV)</t>
        </r>
      </text>
    </comment>
    <comment ref="I1" authorId="0" shapeId="0" xr:uid="{00000000-0006-0000-0000-000009000000}">
      <text>
        <r>
          <rPr>
            <b/>
            <sz val="9"/>
            <color rgb="FF000000"/>
            <rFont val="Tahoma"/>
            <family val="2"/>
          </rPr>
          <t xml:space="preserve">DERIVED: </t>
        </r>
        <r>
          <rPr>
            <sz val="9"/>
            <color rgb="FF000000"/>
            <rFont val="Tahoma"/>
            <family val="2"/>
          </rPr>
          <t>Tax base per capita (i.e. TAX_BASE / POP)</t>
        </r>
      </text>
    </comment>
    <comment ref="J1" authorId="0" shapeId="0" xr:uid="{00000000-0006-0000-0000-00000A000000}">
      <text>
        <r>
          <rPr>
            <b/>
            <sz val="9"/>
            <color rgb="FF000000"/>
            <rFont val="Tahoma"/>
            <family val="2"/>
          </rPr>
          <t xml:space="preserve">DERIVED: </t>
        </r>
        <r>
          <rPr>
            <sz val="9"/>
            <color rgb="FF000000"/>
            <rFont val="Tahoma"/>
            <family val="2"/>
          </rPr>
          <t>Natural log of tax base per capita (i.e. LN(TAX_BASE_PER_CAP))</t>
        </r>
      </text>
    </comment>
    <comment ref="K1" authorId="0" shapeId="0" xr:uid="{00000000-0006-0000-0000-00000B000000}">
      <text>
        <r>
          <rPr>
            <b/>
            <sz val="9"/>
            <color rgb="FF000000"/>
            <rFont val="Tahoma"/>
            <family val="2"/>
          </rPr>
          <t xml:space="preserve">DERIVED: </t>
        </r>
        <r>
          <rPr>
            <sz val="9"/>
            <color rgb="FF000000"/>
            <rFont val="Tahoma"/>
            <family val="2"/>
          </rPr>
          <t>Natural log of population (i.e. LN(POP))</t>
        </r>
      </text>
    </comment>
    <comment ref="L1" authorId="0" shapeId="0" xr:uid="{00000000-0006-0000-0000-00000C000000}">
      <text>
        <r>
          <rPr>
            <b/>
            <sz val="9"/>
            <color rgb="FF000000"/>
            <rFont val="Tahoma"/>
            <family val="2"/>
          </rPr>
          <t xml:space="preserve">DERIVED: </t>
        </r>
        <r>
          <rPr>
            <sz val="9"/>
            <color rgb="FF000000"/>
            <rFont val="Tahoma"/>
            <family val="2"/>
          </rPr>
          <t>Natural log of median household income (i.e. LN(MED_HH_INC))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Noel M. Peterson</author>
  </authors>
  <commentList>
    <comment ref="A1" authorId="0" shapeId="0" xr:uid="{00000000-0006-0000-0100-000001000000}">
      <text>
        <r>
          <rPr>
            <sz val="9"/>
            <color rgb="FF000000"/>
            <rFont val="Tahoma"/>
            <family val="2"/>
          </rPr>
          <t>CCA numeric identifier, as assigned by the City of Chicago</t>
        </r>
      </text>
    </comment>
    <comment ref="B1" authorId="0" shapeId="0" xr:uid="{00000000-0006-0000-0100-000002000000}">
      <text>
        <r>
          <rPr>
            <sz val="9"/>
            <color rgb="FF000000"/>
            <rFont val="Tahoma"/>
            <family val="2"/>
          </rPr>
          <t>CCA name for each of the 77 Chicago Community Areas within the City of Chicago</t>
        </r>
      </text>
    </comment>
    <comment ref="C1" authorId="0" shapeId="0" xr:uid="{8F055FF2-A436-4A9F-8700-C75FCCAE51E3}">
      <text>
        <r>
          <rPr>
            <b/>
            <sz val="9"/>
            <color rgb="FF000000"/>
            <rFont val="Tahoma"/>
            <family val="2"/>
          </rPr>
          <t xml:space="preserve">INPUT: </t>
        </r>
        <r>
          <rPr>
            <sz val="9"/>
            <color rgb="FF000000"/>
            <rFont val="Tahoma"/>
            <family val="34"/>
          </rPr>
          <t>Median household income in 2024 estimated using data from 2020-2024 5-year ACS (reported in CMAP Community Data Snapshots)</t>
        </r>
      </text>
    </comment>
    <comment ref="D1" authorId="0" shapeId="0" xr:uid="{4068B7E3-F99F-4C68-8235-67F35C13E64E}">
      <text>
        <r>
          <rPr>
            <b/>
            <sz val="9"/>
            <color rgb="FF000000"/>
            <rFont val="Tahoma"/>
            <family val="2"/>
          </rPr>
          <t xml:space="preserve">INPUT: </t>
        </r>
        <r>
          <rPr>
            <sz val="9"/>
            <color rgb="FF000000"/>
            <rFont val="Tahoma"/>
            <family val="2"/>
          </rPr>
          <t>Percent of population living in a disinvested area (DA), calculated from 2020 Census block centroids and CMAP ON TO 2050 disinvested areas layer</t>
        </r>
      </text>
    </comment>
    <comment ref="E1" authorId="0" shapeId="0" xr:uid="{00000000-0006-0000-0100-000005000000}">
      <text>
        <r>
          <rPr>
            <b/>
            <sz val="9"/>
            <color rgb="FF000000"/>
            <rFont val="Tahoma"/>
            <family val="2"/>
          </rPr>
          <t>INPUT:</t>
        </r>
        <r>
          <rPr>
            <sz val="9"/>
            <color rgb="FF000000"/>
            <rFont val="Tahoma"/>
            <family val="2"/>
          </rPr>
          <t xml:space="preserve"> Total market value, calculated from 2023 Cook County Assessor's Office data. For each Chicago PIN, total market value is calculated by multiplying total assessed value by a factor, depending on the parcel's class. Factors are generally as follows: 10x for classes 100-399 &amp; 600-999; 5x for classes 400-499; and 4x for classes 500-599. For more information see the CCAO's website: https://www.cookcountyassessoril.gov/classifications-real-property
</t>
        </r>
        <r>
          <rPr>
            <b/>
            <i/>
            <sz val="9"/>
            <color rgb="FF000000"/>
            <rFont val="Tahoma"/>
            <family val="2"/>
          </rPr>
          <t>Note:</t>
        </r>
        <r>
          <rPr>
            <i/>
            <sz val="9"/>
            <color rgb="FF000000"/>
            <rFont val="Tahoma"/>
            <family val="2"/>
          </rPr>
          <t xml:space="preserve"> Chicago is reassessed on a triennial basis, with the most recent assessment being done in 2023. This variable can next be updated with the 2025 assessor data.</t>
        </r>
      </text>
    </comment>
    <comment ref="F1" authorId="0" shapeId="0" xr:uid="{464A655B-67F8-474B-A0ED-226DC95AAAD8}">
      <text>
        <r>
          <rPr>
            <b/>
            <sz val="9"/>
            <color rgb="FF000000"/>
            <rFont val="Tahoma"/>
            <family val="2"/>
          </rPr>
          <t>INPUT:</t>
        </r>
        <r>
          <rPr>
            <sz val="9"/>
            <color rgb="FF000000"/>
            <rFont val="Tahoma"/>
            <family val="2"/>
          </rPr>
          <t xml:space="preserve"> CCA populatio</t>
        </r>
        <r>
          <rPr>
            <sz val="9"/>
            <color rgb="FF000000"/>
            <rFont val="Tahoma"/>
            <family val="34"/>
          </rPr>
          <t>n,estimated from 2020-2024 ACS (see Community Data Snapshots input tables)</t>
        </r>
        <r>
          <rPr>
            <sz val="9"/>
            <color rgb="FF000000"/>
            <rFont val="Tahoma"/>
            <family val="2"/>
          </rPr>
          <t xml:space="preserve"> Required to calculate per capita variables, but should </t>
        </r>
        <r>
          <rPr>
            <i/>
            <u/>
            <sz val="9"/>
            <color rgb="FF000000"/>
            <rFont val="Tahoma"/>
            <family val="2"/>
          </rPr>
          <t>not</t>
        </r>
        <r>
          <rPr>
            <sz val="9"/>
            <color rgb="FF000000"/>
            <rFont val="Tahoma"/>
            <family val="2"/>
          </rPr>
          <t xml:space="preserve"> be used as a standalone factor because population scores would </t>
        </r>
        <r>
          <rPr>
            <i/>
            <sz val="9"/>
            <color rgb="FF000000"/>
            <rFont val="Tahoma"/>
            <family val="2"/>
          </rPr>
          <t>all</t>
        </r>
        <r>
          <rPr>
            <sz val="9"/>
            <color rgb="FF000000"/>
            <rFont val="Tahoma"/>
            <family val="2"/>
          </rPr>
          <t xml:space="preserve"> be artificially deflated relative to the city overall.</t>
        </r>
      </text>
    </comment>
    <comment ref="G1" authorId="0" shapeId="0" xr:uid="{00000000-0006-0000-0100-000007000000}">
      <text>
        <r>
          <rPr>
            <b/>
            <sz val="9"/>
            <color rgb="FF000000"/>
            <rFont val="Tahoma"/>
            <family val="2"/>
          </rPr>
          <t>DERIVED:</t>
        </r>
        <r>
          <rPr>
            <sz val="9"/>
            <color rgb="FF000000"/>
            <rFont val="Tahoma"/>
            <family val="2"/>
          </rPr>
          <t xml:space="preserve"> CCA-level EAV per capita estimate (i.e. TOT_MARKET_VAL, scaled to match city's EAV, divided by CCA_POP), plus </t>
        </r>
        <r>
          <rPr>
            <i/>
            <sz val="9"/>
            <color rgb="FF000000"/>
            <rFont val="Tahoma"/>
            <family val="2"/>
          </rPr>
          <t>citywide</t>
        </r>
        <r>
          <rPr>
            <sz val="9"/>
            <color rgb="FF000000"/>
            <rFont val="Tahoma"/>
            <family val="2"/>
          </rPr>
          <t xml:space="preserve"> retail sales per capita</t>
        </r>
      </text>
    </comment>
    <comment ref="H1" authorId="0" shapeId="0" xr:uid="{00000000-0006-0000-0100-000008000000}">
      <text>
        <r>
          <rPr>
            <b/>
            <sz val="9"/>
            <color rgb="FF000000"/>
            <rFont val="Tahoma"/>
            <family val="2"/>
          </rPr>
          <t xml:space="preserve">DERIVED: </t>
        </r>
        <r>
          <rPr>
            <sz val="9"/>
            <color rgb="FF000000"/>
            <rFont val="Tahoma"/>
            <family val="2"/>
          </rPr>
          <t>Natural log of tax base per capita (i.e. LN(TAX_BASE_PER_CAP)</t>
        </r>
      </text>
    </comment>
    <comment ref="I1" authorId="0" shapeId="0" xr:uid="{00000000-0006-0000-0100-000009000000}">
      <text>
        <r>
          <rPr>
            <b/>
            <sz val="9"/>
            <color rgb="FF000000"/>
            <rFont val="Tahoma"/>
            <family val="2"/>
          </rPr>
          <t xml:space="preserve">DERIVED: </t>
        </r>
        <r>
          <rPr>
            <sz val="9"/>
            <color rgb="FF000000"/>
            <rFont val="Tahoma"/>
            <family val="2"/>
          </rPr>
          <t xml:space="preserve">Natural log of </t>
        </r>
        <r>
          <rPr>
            <i/>
            <sz val="9"/>
            <color rgb="FF000000"/>
            <rFont val="Tahoma"/>
            <family val="2"/>
          </rPr>
          <t xml:space="preserve">citywide </t>
        </r>
        <r>
          <rPr>
            <sz val="9"/>
            <color rgb="FF000000"/>
            <rFont val="Tahoma"/>
            <family val="2"/>
          </rPr>
          <t xml:space="preserve">population (i.e. LN(POP)) -- </t>
        </r>
        <r>
          <rPr>
            <i/>
            <u/>
            <sz val="9"/>
            <color rgb="FF000000"/>
            <rFont val="Tahoma"/>
            <family val="2"/>
          </rPr>
          <t>not</t>
        </r>
        <r>
          <rPr>
            <sz val="9"/>
            <color rgb="FF000000"/>
            <rFont val="Tahoma"/>
            <family val="2"/>
          </rPr>
          <t xml:space="preserve"> based on CCA_POP, because CCAs should not all score lower on population than the city overall.</t>
        </r>
      </text>
    </comment>
    <comment ref="J1" authorId="0" shapeId="0" xr:uid="{00000000-0006-0000-0100-00000A000000}">
      <text>
        <r>
          <rPr>
            <b/>
            <sz val="9"/>
            <color rgb="FF000000"/>
            <rFont val="Tahoma"/>
            <family val="2"/>
          </rPr>
          <t xml:space="preserve">DERIVED: </t>
        </r>
        <r>
          <rPr>
            <sz val="9"/>
            <color rgb="FF000000"/>
            <rFont val="Tahoma"/>
            <family val="2"/>
          </rPr>
          <t>Natural log of median household income (i.e. LN(MED_HH_INC))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Noel M. Peterson</author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>Names of columns from FACTORS_MUNI sheet to be included in cohort calculations. If column does not also exist in FACTORS_CCA, cell will be highlighted in red. Duplicate names will be highlighted in yellow.</t>
        </r>
      </text>
    </comment>
    <comment ref="B1" authorId="0" shapeId="0" xr:uid="{00000000-0006-0000-0200-000002000000}">
      <text>
        <r>
          <rPr>
            <sz val="9"/>
            <color indexed="81"/>
            <rFont val="Tahoma"/>
            <family val="2"/>
          </rPr>
          <t>Relative weight to assign to corresponding factor. Magnitude of number represents influence in cohort determination. Use negative weights for factors where lowest values represent least need.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Noel M. Peterson</author>
  </authors>
  <commentList>
    <comment ref="A1" authorId="0" shapeId="0" xr:uid="{00000000-0006-0000-0300-000001000000}">
      <text>
        <r>
          <rPr>
            <sz val="9"/>
            <color rgb="FF000000"/>
            <rFont val="Tahoma"/>
            <family val="2"/>
          </rPr>
          <t xml:space="preserve">Cohort ID number. Cohorts can be added or removed, but Cohort 1 should always represent the lowest-need communities (i.e. those with the highest scores). </t>
        </r>
      </text>
    </comment>
    <comment ref="B1" authorId="0" shapeId="0" xr:uid="{00000000-0006-0000-0300-000002000000}">
      <text>
        <r>
          <rPr>
            <sz val="9"/>
            <color indexed="81"/>
            <rFont val="Tahoma"/>
            <family val="2"/>
          </rPr>
          <t xml:space="preserve">Maximum score (out of a total possible range of 0-100) for which a muni should be assigned to the associated cohort. (Minimum score will be equal to, but exclusive of, the adjacent cohort's maximum, or 0 for the highest-need cohort.) Lowest-need cohort (Cohort 1) should </t>
        </r>
        <r>
          <rPr>
            <i/>
            <sz val="9"/>
            <color indexed="81"/>
            <rFont val="Tahoma"/>
            <family val="2"/>
          </rPr>
          <t>always</t>
        </r>
        <r>
          <rPr>
            <sz val="9"/>
            <color indexed="81"/>
            <rFont val="Tahoma"/>
            <family val="2"/>
          </rPr>
          <t xml:space="preserve"> have MAX_SCORE=100.</t>
        </r>
      </text>
    </comment>
  </commentList>
</comments>
</file>

<file path=xl/sharedStrings.xml><?xml version="1.0" encoding="utf-8"?>
<sst xmlns="http://schemas.openxmlformats.org/spreadsheetml/2006/main" count="387" uniqueCount="380">
  <si>
    <t>GEOID</t>
  </si>
  <si>
    <t>MUNI</t>
  </si>
  <si>
    <t>POP</t>
  </si>
  <si>
    <t>MED_HH_INC</t>
  </si>
  <si>
    <t>RET_SALES</t>
  </si>
  <si>
    <t>TOT_EAV</t>
  </si>
  <si>
    <t>TAX_BASE</t>
  </si>
  <si>
    <t>TAX_BASE_PER_CAP</t>
  </si>
  <si>
    <t>ln_POP</t>
  </si>
  <si>
    <t>ln_TAX_BASE_PER_CAP</t>
  </si>
  <si>
    <t>Addison</t>
  </si>
  <si>
    <t>Algonquin</t>
  </si>
  <si>
    <t>Alsip</t>
  </si>
  <si>
    <t>Antioch</t>
  </si>
  <si>
    <t>Arlington Heights</t>
  </si>
  <si>
    <t>Aurora</t>
  </si>
  <si>
    <t>Bannockburn</t>
  </si>
  <si>
    <t>Barrington</t>
  </si>
  <si>
    <t>Barrington Hills</t>
  </si>
  <si>
    <t>Bartlett</t>
  </si>
  <si>
    <t>Batavia</t>
  </si>
  <si>
    <t>Beach Park</t>
  </si>
  <si>
    <t>Bedford Park</t>
  </si>
  <si>
    <t>Beecher</t>
  </si>
  <si>
    <t>Bellwood</t>
  </si>
  <si>
    <t>Bensenville</t>
  </si>
  <si>
    <t>Berkeley</t>
  </si>
  <si>
    <t>Berwyn</t>
  </si>
  <si>
    <t>Big Rock</t>
  </si>
  <si>
    <t>Bloomingdale</t>
  </si>
  <si>
    <t>Blue Island</t>
  </si>
  <si>
    <t>Bolingbrook</t>
  </si>
  <si>
    <t>Braceville</t>
  </si>
  <si>
    <t>Braidwood</t>
  </si>
  <si>
    <t>Bridgeview</t>
  </si>
  <si>
    <t>Broadview</t>
  </si>
  <si>
    <t>Brookfield</t>
  </si>
  <si>
    <t>Buffalo Grove</t>
  </si>
  <si>
    <t>Bull Valley</t>
  </si>
  <si>
    <t>Burbank</t>
  </si>
  <si>
    <t>Burlington</t>
  </si>
  <si>
    <t>Burnham</t>
  </si>
  <si>
    <t>Burr Ridge</t>
  </si>
  <si>
    <t>Calumet City</t>
  </si>
  <si>
    <t>Calumet Park</t>
  </si>
  <si>
    <t>Campton Hills</t>
  </si>
  <si>
    <t>Carol Stream</t>
  </si>
  <si>
    <t>Carpentersville</t>
  </si>
  <si>
    <t>Cary</t>
  </si>
  <si>
    <t>Channahon</t>
  </si>
  <si>
    <t>Chicago</t>
  </si>
  <si>
    <t>Chicago Heights</t>
  </si>
  <si>
    <t>Chicago Ridge</t>
  </si>
  <si>
    <t>Cicero</t>
  </si>
  <si>
    <t>Clarendon Hills</t>
  </si>
  <si>
    <t>Coal City</t>
  </si>
  <si>
    <t>Country Club Hills</t>
  </si>
  <si>
    <t>Countryside</t>
  </si>
  <si>
    <t>Crest Hill</t>
  </si>
  <si>
    <t>Crestwood</t>
  </si>
  <si>
    <t>Crete</t>
  </si>
  <si>
    <t>Crystal Lake</t>
  </si>
  <si>
    <t>Darien</t>
  </si>
  <si>
    <t>Deer Park</t>
  </si>
  <si>
    <t>Deerfield</t>
  </si>
  <si>
    <t>Des Plaines</t>
  </si>
  <si>
    <t>Diamond</t>
  </si>
  <si>
    <t>Dixmoor</t>
  </si>
  <si>
    <t>Dolton</t>
  </si>
  <si>
    <t>Downers Grove</t>
  </si>
  <si>
    <t>East Dundee</t>
  </si>
  <si>
    <t>East Hazel Crest</t>
  </si>
  <si>
    <t>Elburn</t>
  </si>
  <si>
    <t>Elgin</t>
  </si>
  <si>
    <t>Elk Grove Village</t>
  </si>
  <si>
    <t>Elmhurst</t>
  </si>
  <si>
    <t>Elmwood Park</t>
  </si>
  <si>
    <t>Elwood</t>
  </si>
  <si>
    <t>Evanston</t>
  </si>
  <si>
    <t>Evergreen Park</t>
  </si>
  <si>
    <t>Flossmoor</t>
  </si>
  <si>
    <t>Ford Heights</t>
  </si>
  <si>
    <t>Forest Park</t>
  </si>
  <si>
    <t>Forest View</t>
  </si>
  <si>
    <t>Fox Lake</t>
  </si>
  <si>
    <t>Fox River Grove</t>
  </si>
  <si>
    <t>Frankfort</t>
  </si>
  <si>
    <t>Franklin Park</t>
  </si>
  <si>
    <t>Geneva</t>
  </si>
  <si>
    <t>Gilberts</t>
  </si>
  <si>
    <t>Glen Ellyn</t>
  </si>
  <si>
    <t>Glencoe</t>
  </si>
  <si>
    <t>Glendale Heights</t>
  </si>
  <si>
    <t>Glenview</t>
  </si>
  <si>
    <t>Glenwood</t>
  </si>
  <si>
    <t>Godley</t>
  </si>
  <si>
    <t>Golf</t>
  </si>
  <si>
    <t>Grayslake</t>
  </si>
  <si>
    <t>Green Oaks</t>
  </si>
  <si>
    <t>Greenwood</t>
  </si>
  <si>
    <t>Gurnee</t>
  </si>
  <si>
    <t>Hainesville</t>
  </si>
  <si>
    <t>Hampshire</t>
  </si>
  <si>
    <t>Hanover Park</t>
  </si>
  <si>
    <t>Harvard</t>
  </si>
  <si>
    <t>Harvey</t>
  </si>
  <si>
    <t>Harwood Heights</t>
  </si>
  <si>
    <t>Hawthorn Woods</t>
  </si>
  <si>
    <t>Hazel Crest</t>
  </si>
  <si>
    <t>Hebron</t>
  </si>
  <si>
    <t>Hickory Hills</t>
  </si>
  <si>
    <t>Highland Park</t>
  </si>
  <si>
    <t>Highwood</t>
  </si>
  <si>
    <t>Hillside</t>
  </si>
  <si>
    <t>Hinsdale</t>
  </si>
  <si>
    <t>Hodgkins</t>
  </si>
  <si>
    <t>Hoffman Estates</t>
  </si>
  <si>
    <t>Holiday Hills</t>
  </si>
  <si>
    <t>Homer Glen</t>
  </si>
  <si>
    <t>Hometown</t>
  </si>
  <si>
    <t>Homewood</t>
  </si>
  <si>
    <t>Huntley</t>
  </si>
  <si>
    <t>Indian Creek</t>
  </si>
  <si>
    <t>Indian Head Park</t>
  </si>
  <si>
    <t>Inverness</t>
  </si>
  <si>
    <t>Island Lake</t>
  </si>
  <si>
    <t>Itasca</t>
  </si>
  <si>
    <t>Johnsburg</t>
  </si>
  <si>
    <t>Joliet</t>
  </si>
  <si>
    <t>Justice</t>
  </si>
  <si>
    <t>Kaneville</t>
  </si>
  <si>
    <t>Kenilworth</t>
  </si>
  <si>
    <t>Kildeer</t>
  </si>
  <si>
    <t>La Grange</t>
  </si>
  <si>
    <t>La Grange Park</t>
  </si>
  <si>
    <t>Lake Barrington</t>
  </si>
  <si>
    <t>Lake Bluff</t>
  </si>
  <si>
    <t>Lake Forest</t>
  </si>
  <si>
    <t>Lake in the Hills</t>
  </si>
  <si>
    <t>Lake Villa</t>
  </si>
  <si>
    <t>Lake Zurich</t>
  </si>
  <si>
    <t>Lakemoor</t>
  </si>
  <si>
    <t>Lakewood</t>
  </si>
  <si>
    <t>Lansing</t>
  </si>
  <si>
    <t>Lemont</t>
  </si>
  <si>
    <t>Libertyville</t>
  </si>
  <si>
    <t>Lily Lake</t>
  </si>
  <si>
    <t>Lincolnshire</t>
  </si>
  <si>
    <t>Lincolnwood</t>
  </si>
  <si>
    <t>Lindenhurst</t>
  </si>
  <si>
    <t>Lisbon</t>
  </si>
  <si>
    <t>Lisle</t>
  </si>
  <si>
    <t>Lockport</t>
  </si>
  <si>
    <t>Lombard</t>
  </si>
  <si>
    <t>Long Grove</t>
  </si>
  <si>
    <t>Lynwood</t>
  </si>
  <si>
    <t>Lyons</t>
  </si>
  <si>
    <t>Manhattan</t>
  </si>
  <si>
    <t>Maple Park</t>
  </si>
  <si>
    <t>Marengo</t>
  </si>
  <si>
    <t>Markham</t>
  </si>
  <si>
    <t>Matteson</t>
  </si>
  <si>
    <t>Maywood</t>
  </si>
  <si>
    <t>McCook</t>
  </si>
  <si>
    <t>McCullom Lake</t>
  </si>
  <si>
    <t>McHenry</t>
  </si>
  <si>
    <t>Melrose Park</t>
  </si>
  <si>
    <t>Merrionette Park</t>
  </si>
  <si>
    <t>Mettawa</t>
  </si>
  <si>
    <t>Midlothian</t>
  </si>
  <si>
    <t>Millbrook</t>
  </si>
  <si>
    <t>Millington</t>
  </si>
  <si>
    <t>Minooka</t>
  </si>
  <si>
    <t>Mokena</t>
  </si>
  <si>
    <t>Monee</t>
  </si>
  <si>
    <t>Montgomery</t>
  </si>
  <si>
    <t>Morton Grove</t>
  </si>
  <si>
    <t>Mount Prospect</t>
  </si>
  <si>
    <t>Mundelein</t>
  </si>
  <si>
    <t>Naperville</t>
  </si>
  <si>
    <t>New Lenox</t>
  </si>
  <si>
    <t>Newark</t>
  </si>
  <si>
    <t>Niles</t>
  </si>
  <si>
    <t>Norridge</t>
  </si>
  <si>
    <t>North Aurora</t>
  </si>
  <si>
    <t>North Barrington</t>
  </si>
  <si>
    <t>North Chicago</t>
  </si>
  <si>
    <t>North Riverside</t>
  </si>
  <si>
    <t>Northbrook</t>
  </si>
  <si>
    <t>Northfield</t>
  </si>
  <si>
    <t>Northlake</t>
  </si>
  <si>
    <t>Oak Brook</t>
  </si>
  <si>
    <t>Oak Forest</t>
  </si>
  <si>
    <t>Oak Lawn</t>
  </si>
  <si>
    <t>Oak Park</t>
  </si>
  <si>
    <t>Oakbrook Terrace</t>
  </si>
  <si>
    <t>Oakwood Hills</t>
  </si>
  <si>
    <t>Old Mill Creek</t>
  </si>
  <si>
    <t>Olympia Fields</t>
  </si>
  <si>
    <t>Orland Hills</t>
  </si>
  <si>
    <t>Orland Park</t>
  </si>
  <si>
    <t>Oswego</t>
  </si>
  <si>
    <t>Palatine</t>
  </si>
  <si>
    <t>Palos Heights</t>
  </si>
  <si>
    <t>Palos Hills</t>
  </si>
  <si>
    <t>Palos Park</t>
  </si>
  <si>
    <t>Park City</t>
  </si>
  <si>
    <t>Park Forest</t>
  </si>
  <si>
    <t>Park Ridge</t>
  </si>
  <si>
    <t>Peotone</t>
  </si>
  <si>
    <t>Phoenix</t>
  </si>
  <si>
    <t>Pingree Grove</t>
  </si>
  <si>
    <t>Plainfield</t>
  </si>
  <si>
    <t>Plano</t>
  </si>
  <si>
    <t>Plattville</t>
  </si>
  <si>
    <t>Port Barrington</t>
  </si>
  <si>
    <t>Posen</t>
  </si>
  <si>
    <t>Prairie Grove</t>
  </si>
  <si>
    <t>Prospect Heights</t>
  </si>
  <si>
    <t>Richmond</t>
  </si>
  <si>
    <t>Richton Park</t>
  </si>
  <si>
    <t>Ringwood</t>
  </si>
  <si>
    <t>River Forest</t>
  </si>
  <si>
    <t>River Grove</t>
  </si>
  <si>
    <t>Riverdale</t>
  </si>
  <si>
    <t>Riverside</t>
  </si>
  <si>
    <t>Riverwoods</t>
  </si>
  <si>
    <t>Robbins</t>
  </si>
  <si>
    <t>Rockdale</t>
  </si>
  <si>
    <t>Rolling Meadows</t>
  </si>
  <si>
    <t>Romeoville</t>
  </si>
  <si>
    <t>Roselle</t>
  </si>
  <si>
    <t>Rosemont</t>
  </si>
  <si>
    <t>Round Lake</t>
  </si>
  <si>
    <t>Round Lake Beach</t>
  </si>
  <si>
    <t>Round Lake Heights</t>
  </si>
  <si>
    <t>Round Lake Park</t>
  </si>
  <si>
    <t>Sandwich</t>
  </si>
  <si>
    <t>Sauk Village</t>
  </si>
  <si>
    <t>Schaumburg</t>
  </si>
  <si>
    <t>Schiller Park</t>
  </si>
  <si>
    <t>Shorewood</t>
  </si>
  <si>
    <t>Skokie</t>
  </si>
  <si>
    <t>Sleepy Hollow</t>
  </si>
  <si>
    <t>South Barrington</t>
  </si>
  <si>
    <t>South Chicago Heights</t>
  </si>
  <si>
    <t>South Elgin</t>
  </si>
  <si>
    <t>South Holland</t>
  </si>
  <si>
    <t>Spring Grove</t>
  </si>
  <si>
    <t>St. Charles</t>
  </si>
  <si>
    <t>Steger</t>
  </si>
  <si>
    <t>Stickney</t>
  </si>
  <si>
    <t>Stone Park</t>
  </si>
  <si>
    <t>Streamwood</t>
  </si>
  <si>
    <t>Sugar Grove</t>
  </si>
  <si>
    <t>Summit</t>
  </si>
  <si>
    <t>Symerton</t>
  </si>
  <si>
    <t>Third Lake</t>
  </si>
  <si>
    <t>Thornton</t>
  </si>
  <si>
    <t>Tinley Park</t>
  </si>
  <si>
    <t>Tower Lakes</t>
  </si>
  <si>
    <t>Trout Valley</t>
  </si>
  <si>
    <t>Union</t>
  </si>
  <si>
    <t>University Park</t>
  </si>
  <si>
    <t>Vernon Hills</t>
  </si>
  <si>
    <t>Villa Park</t>
  </si>
  <si>
    <t>Virgil</t>
  </si>
  <si>
    <t>Volo</t>
  </si>
  <si>
    <t>Wadsworth</t>
  </si>
  <si>
    <t>Warrenville</t>
  </si>
  <si>
    <t>Wauconda</t>
  </si>
  <si>
    <t>Waukegan</t>
  </si>
  <si>
    <t>Wayne</t>
  </si>
  <si>
    <t>West Chicago</t>
  </si>
  <si>
    <t>West Dundee</t>
  </si>
  <si>
    <t>Westchester</t>
  </si>
  <si>
    <t>Western Springs</t>
  </si>
  <si>
    <t>Westmont</t>
  </si>
  <si>
    <t>Wheaton</t>
  </si>
  <si>
    <t>Wheeling</t>
  </si>
  <si>
    <t>Willow Springs</t>
  </si>
  <si>
    <t>Willowbrook</t>
  </si>
  <si>
    <t>Wilmette</t>
  </si>
  <si>
    <t>Wilmington</t>
  </si>
  <si>
    <t>Winfield</t>
  </si>
  <si>
    <t>Winnetka</t>
  </si>
  <si>
    <t>Winthrop Harbor</t>
  </si>
  <si>
    <t>Wonder Lake</t>
  </si>
  <si>
    <t>Wood Dale</t>
  </si>
  <si>
    <t>Woodridge</t>
  </si>
  <si>
    <t>Woodstock</t>
  </si>
  <si>
    <t>Worth</t>
  </si>
  <si>
    <t>Yorkville</t>
  </si>
  <si>
    <t>Zion</t>
  </si>
  <si>
    <t>WEIGHT</t>
  </si>
  <si>
    <t>FACTOR_NAME</t>
  </si>
  <si>
    <t>COHORT</t>
  </si>
  <si>
    <t>MAX_SCORE</t>
  </si>
  <si>
    <t>Albany Park</t>
  </si>
  <si>
    <t>Archer Heights</t>
  </si>
  <si>
    <t>Armour Square</t>
  </si>
  <si>
    <t>Ashburn</t>
  </si>
  <si>
    <t>Auburn Gresham</t>
  </si>
  <si>
    <t>Austin</t>
  </si>
  <si>
    <t>Avalon Park</t>
  </si>
  <si>
    <t>Avondale</t>
  </si>
  <si>
    <t>Belmont Cragin</t>
  </si>
  <si>
    <t>Beverly</t>
  </si>
  <si>
    <t>Bridgeport</t>
  </si>
  <si>
    <t>Brighton Park</t>
  </si>
  <si>
    <t>Burnside</t>
  </si>
  <si>
    <t>Calumet Heights</t>
  </si>
  <si>
    <t>Chatham</t>
  </si>
  <si>
    <t>Chicago Lawn</t>
  </si>
  <si>
    <t>Clearing</t>
  </si>
  <si>
    <t>Douglas</t>
  </si>
  <si>
    <t>Dunning</t>
  </si>
  <si>
    <t>East Garfield Park</t>
  </si>
  <si>
    <t>East Side</t>
  </si>
  <si>
    <t>Edgewater</t>
  </si>
  <si>
    <t>Edison Park</t>
  </si>
  <si>
    <t>Englewood</t>
  </si>
  <si>
    <t>Forest Glen</t>
  </si>
  <si>
    <t>Fuller Park</t>
  </si>
  <si>
    <t>Gage Park</t>
  </si>
  <si>
    <t>Garfield Ridge</t>
  </si>
  <si>
    <t>Grand Boulevard</t>
  </si>
  <si>
    <t>Greater Grand Crossing</t>
  </si>
  <si>
    <t>Hegewisch</t>
  </si>
  <si>
    <t>Hermosa</t>
  </si>
  <si>
    <t>Humboldt Park</t>
  </si>
  <si>
    <t>Hyde Park</t>
  </si>
  <si>
    <t>Irving Park</t>
  </si>
  <si>
    <t>Jefferson Park</t>
  </si>
  <si>
    <t>Kenwood</t>
  </si>
  <si>
    <t>Lake View</t>
  </si>
  <si>
    <t>Lincoln Park</t>
  </si>
  <si>
    <t>Lincoln Square</t>
  </si>
  <si>
    <t>Logan Square</t>
  </si>
  <si>
    <t>Lower West Side</t>
  </si>
  <si>
    <t>McKinley Park</t>
  </si>
  <si>
    <t>Montclare</t>
  </si>
  <si>
    <t>Morgan Park</t>
  </si>
  <si>
    <t>Mount Greenwood</t>
  </si>
  <si>
    <t>Near North Side</t>
  </si>
  <si>
    <t>Near South Side</t>
  </si>
  <si>
    <t>Near West Side</t>
  </si>
  <si>
    <t>New City</t>
  </si>
  <si>
    <t>North Center</t>
  </si>
  <si>
    <t>North Lawndale</t>
  </si>
  <si>
    <t>North Park</t>
  </si>
  <si>
    <t>Norwood Park</t>
  </si>
  <si>
    <t>O'Hare</t>
  </si>
  <si>
    <t>Oakland</t>
  </si>
  <si>
    <t>Portage Park</t>
  </si>
  <si>
    <t>Pullman</t>
  </si>
  <si>
    <t>Rogers Park</t>
  </si>
  <si>
    <t>Roseland</t>
  </si>
  <si>
    <t>South Chicago</t>
  </si>
  <si>
    <t>South Deering</t>
  </si>
  <si>
    <t>South Lawndale</t>
  </si>
  <si>
    <t>South Shore</t>
  </si>
  <si>
    <t>The Loop</t>
  </si>
  <si>
    <t>Uptown</t>
  </si>
  <si>
    <t>Washington Heights</t>
  </si>
  <si>
    <t>Washington Park</t>
  </si>
  <si>
    <t>West Elsdon</t>
  </si>
  <si>
    <t>West Englewood</t>
  </si>
  <si>
    <t>West Garfield Park</t>
  </si>
  <si>
    <t>West Lawn</t>
  </si>
  <si>
    <t>West Pullman</t>
  </si>
  <si>
    <t>West Ridge</t>
  </si>
  <si>
    <t>West Town</t>
  </si>
  <si>
    <t>Woodlawn</t>
  </si>
  <si>
    <t>CCA_ID</t>
  </si>
  <si>
    <t>CCA_NAME</t>
  </si>
  <si>
    <t>ln_MED_HH_INC</t>
  </si>
  <si>
    <t>CCA_POP</t>
  </si>
  <si>
    <t>TOT_MARKET_VAL</t>
  </si>
  <si>
    <t>PCT_DA_POP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</si>
</sst>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0.00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u/>
      <sz val="9"/>
      <color rgb="FF000000"/>
      <name val="Tahoma"/>
      <family val="2"/>
    </font>
    <font>
      <i/>
      <sz val="9"/>
      <color rgb="FF000000"/>
      <name val="Tahoma"/>
      <family val="2"/>
    </font>
    <font>
      <sz val="9"/>
      <color rgb="FF000000"/>
      <name val="Tahoma"/>
      <family val="34"/>
    </font>
    <font>
      <b/>
      <i/>
      <sz val="9"/>
      <color rgb="FF00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16" fillId="0" borderId="0" xfId="0" applyFont="1"/>
    <xf numFmtId="2" fontId="0" fillId="0" borderId="0" xfId="0" applyNumberFormat="1"/>
    <xf numFmtId="2" fontId="16" fillId="0" borderId="0" xfId="0" applyNumberFormat="1" applyFont="1"/>
    <xf numFmtId="2" fontId="18" fillId="0" borderId="0" xfId="0" applyNumberFormat="1" applyFont="1"/>
    <xf numFmtId="0" fontId="16" fillId="0" borderId="11" xfId="0" applyFont="1" applyBorder="1"/>
    <xf numFmtId="2" fontId="19" fillId="0" borderId="11" xfId="0" applyNumberFormat="1" applyFont="1" applyBorder="1"/>
    <xf numFmtId="165" fontId="19" fillId="0" borderId="11" xfId="0" applyNumberFormat="1" applyFont="1" applyBorder="1"/>
    <xf numFmtId="165" fontId="18" fillId="0" borderId="0" xfId="0" applyNumberFormat="1" applyFont="1"/>
    <xf numFmtId="164" fontId="22" fillId="0" borderId="0" xfId="0" applyNumberFormat="1" applyFont="1"/>
    <xf numFmtId="0" fontId="22" fillId="0" borderId="10" xfId="0" applyFont="1" applyBorder="1"/>
    <xf numFmtId="0" fontId="22" fillId="0" borderId="0" xfId="0" applyFont="1"/>
    <xf numFmtId="49" fontId="0" fillId="0" borderId="0" xfId="0" applyNumberFormat="1"/>
    <xf numFmtId="0" fontId="0" fillId="0" borderId="13" xfId="0" applyBorder="1"/>
    <xf numFmtId="0" fontId="16" fillId="0" borderId="14" xfId="0" applyFont="1" applyBorder="1"/>
    <xf numFmtId="164" fontId="0" fillId="0" borderId="0" xfId="0" applyNumberFormat="1"/>
    <xf numFmtId="1" fontId="0" fillId="0" borderId="0" xfId="0" applyNumberFormat="1"/>
    <xf numFmtId="1" fontId="19" fillId="0" borderId="12" xfId="0" applyNumberFormat="1" applyFont="1" applyBorder="1"/>
    <xf numFmtId="1" fontId="18" fillId="0" borderId="10" xfId="0" applyNumberFormat="1" applyFont="1" applyBorder="1"/>
    <xf numFmtId="43" fontId="0" fillId="0" borderId="0" xfId="42" applyFont="1"/>
    <xf numFmtId="0" fontId="0" fillId="0" borderId="0" xfId="0" quotePrefix="1"/>
    <xf numFmtId="2" fontId="19" fillId="0" borderId="12" xfId="0" applyNumberFormat="1" applyFont="1" applyBorder="1"/>
    <xf numFmtId="2" fontId="18" fillId="0" borderId="10" xfId="0" applyNumberFormat="1" applyFont="1" applyBorder="1"/>
    <xf numFmtId="0" fontId="16" fillId="33" borderId="11" xfId="0" applyFont="1" applyFill="1" applyBorder="1"/>
    <xf numFmtId="0" fontId="21" fillId="0" borderId="12" xfId="0" applyFont="1" applyBorder="1"/>
    <xf numFmtId="1" fontId="21" fillId="0" borderId="11" xfId="0" applyNumberFormat="1" applyFont="1" applyBorder="1"/>
    <xf numFmtId="0" fontId="21" fillId="0" borderId="11" xfId="0" applyFont="1" applyBorder="1"/>
    <xf numFmtId="2" fontId="21" fillId="0" borderId="11" xfId="0" applyNumberFormat="1" applyFont="1" applyBorder="1"/>
    <xf numFmtId="164" fontId="21" fillId="0" borderId="11" xfId="0" applyNumberFormat="1" applyFont="1" applyBorder="1"/>
    <xf numFmtId="164" fontId="16" fillId="0" borderId="11" xfId="0" applyNumberFormat="1" applyFont="1" applyBorder="1"/>
    <xf numFmtId="0" fontId="16" fillId="0" borderId="11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6500"/>
      </font>
      <fill>
        <patternFill>
          <bgColor rgb="FFFFEB9C"/>
        </patternFill>
      </fill>
    </dxf>
    <dxf>
      <font>
        <color rgb="FF800000"/>
      </font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7C80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"/>
  <sheetViews>
    <sheetView tabSelected="1" workbookViewId="0">
      <selection activeCell="D9" sqref="D9"/>
    </sheetView>
  </sheetViews>
  <sheetFormatPr defaultColWidth="8.6640625" defaultRowHeight="14.4" x14ac:dyDescent="0.3"/>
  <cols>
    <col min="1" max="1" width="8" bestFit="1" customWidth="1"/>
    <col min="2" max="2" width="20.6640625" bestFit="1" customWidth="1"/>
    <col min="3" max="3" width="8" style="10" customWidth="1"/>
    <col min="4" max="4" width="14.6640625" style="11" customWidth="1"/>
    <col min="5" max="6" width="12" style="11" customWidth="1"/>
    <col min="7" max="7" width="16.44140625" style="9" customWidth="1"/>
    <col min="8" max="8" width="13.109375" style="18" bestFit="1" customWidth="1"/>
    <col min="9" max="9" width="19" style="4" bestFit="1" customWidth="1"/>
    <col min="10" max="10" width="21.6640625" style="8" bestFit="1" customWidth="1"/>
    <col min="11" max="11" width="12" style="8" bestFit="1" customWidth="1"/>
    <col min="12" max="12" width="15.6640625" style="8" bestFit="1" customWidth="1"/>
  </cols>
  <sheetData>
    <row r="1" spans="1:12" s="5" customFormat="1" x14ac:dyDescent="0.3">
      <c r="A1" s="5" t="s">
        <v>0</v>
      </c>
      <c r="B1" s="5" t="s">
        <v>1</v>
      </c>
      <c r="C1" s="24" t="s">
        <v>2</v>
      </c>
      <c r="D1" s="26" t="s">
        <v>3</v>
      </c>
      <c r="E1" s="30" t="s">
        <v>4</v>
      </c>
      <c r="F1" s="23" t="s">
        <v>5</v>
      </c>
      <c r="G1" s="28" t="s">
        <v>379</v>
      </c>
      <c r="H1" s="17" t="s">
        <v>6</v>
      </c>
      <c r="I1" s="6" t="s">
        <v>7</v>
      </c>
      <c r="J1" s="7" t="s">
        <v>9</v>
      </c>
      <c r="K1" s="7" t="s">
        <v>8</v>
      </c>
      <c r="L1" s="7" t="s">
        <v>376</v>
      </c>
    </row>
    <row r="2" spans="1:12" x14ac:dyDescent="0.3">
      <c r="A2">
        <v>1700243</v>
      </c>
      <c r="B2" t="s">
        <v>10</v>
      </c>
      <c r="C2">
        <v>35489</v>
      </c>
      <c r="D2">
        <v>90431</v>
      </c>
      <c r="E2">
        <v>1418099513</v>
      </c>
      <c r="F2">
        <v>1530498318</v>
      </c>
      <c r="G2" s="9">
        <v>0</v>
      </c>
      <c r="H2" s="18">
        <f>E2+F2</f>
        <v>2948597831</v>
      </c>
      <c r="I2" s="4">
        <f>H2/C2</f>
        <v>83084.838428808929</v>
      </c>
      <c r="J2" s="8">
        <f>LN(I2)</f>
        <v>11.327617514484075</v>
      </c>
      <c r="K2" s="8">
        <f>LN(C2)</f>
        <v>10.476978068292311</v>
      </c>
      <c r="L2" s="8">
        <f>LN(D2)</f>
        <v>11.412342407950504</v>
      </c>
    </row>
    <row r="3" spans="1:12" x14ac:dyDescent="0.3">
      <c r="A3">
        <v>1700685</v>
      </c>
      <c r="B3" t="s">
        <v>11</v>
      </c>
      <c r="C3">
        <v>30067</v>
      </c>
      <c r="D3">
        <v>134525</v>
      </c>
      <c r="E3">
        <v>1057450568</v>
      </c>
      <c r="F3">
        <v>1221895097</v>
      </c>
      <c r="G3" s="9">
        <v>4.4444444444444446E-2</v>
      </c>
      <c r="H3" s="18">
        <f>E3+F3</f>
        <v>2279345665</v>
      </c>
      <c r="I3" s="4">
        <f>H3/C3</f>
        <v>75808.882329464192</v>
      </c>
      <c r="J3" s="8">
        <f>LN(I3)</f>
        <v>11.235970745892788</v>
      </c>
      <c r="K3" s="8">
        <f>LN(C3)</f>
        <v>10.311183503795652</v>
      </c>
      <c r="L3" s="8">
        <f>LN(D3)</f>
        <v>11.80950533435762</v>
      </c>
    </row>
    <row r="4" spans="1:12" x14ac:dyDescent="0.3">
      <c r="A4">
        <v>1701010</v>
      </c>
      <c r="B4" t="s">
        <v>12</v>
      </c>
      <c r="C4">
        <v>18583</v>
      </c>
      <c r="D4">
        <v>66585</v>
      </c>
      <c r="E4">
        <v>512679194</v>
      </c>
      <c r="F4">
        <v>835589144</v>
      </c>
      <c r="G4" s="9">
        <v>0</v>
      </c>
      <c r="H4" s="18">
        <f>E4+F4</f>
        <v>1348268338</v>
      </c>
      <c r="I4" s="4">
        <f>H4/C4</f>
        <v>72553.857719420979</v>
      </c>
      <c r="J4" s="8">
        <f>LN(I4)</f>
        <v>11.192084430150526</v>
      </c>
      <c r="K4" s="8">
        <f>LN(C4)</f>
        <v>9.8300024632736509</v>
      </c>
      <c r="L4" s="8">
        <f>LN(D4)</f>
        <v>11.106234605936246</v>
      </c>
    </row>
    <row r="5" spans="1:12" x14ac:dyDescent="0.3">
      <c r="A5">
        <v>1701595</v>
      </c>
      <c r="B5" t="s">
        <v>13</v>
      </c>
      <c r="C5">
        <v>14859</v>
      </c>
      <c r="D5">
        <v>108899</v>
      </c>
      <c r="E5">
        <v>524459040</v>
      </c>
      <c r="F5">
        <v>465898037</v>
      </c>
      <c r="G5" s="9">
        <v>0</v>
      </c>
      <c r="H5" s="18">
        <f>E5+F5</f>
        <v>990357077</v>
      </c>
      <c r="I5" s="4">
        <f>H5/C5</f>
        <v>66650.318123696081</v>
      </c>
      <c r="J5" s="8">
        <f>LN(I5)</f>
        <v>11.107215098644167</v>
      </c>
      <c r="K5" s="8">
        <f>LN(C5)</f>
        <v>9.6063610212563475</v>
      </c>
      <c r="L5" s="8">
        <f>LN(D5)</f>
        <v>11.598176126142436</v>
      </c>
    </row>
    <row r="6" spans="1:12" x14ac:dyDescent="0.3">
      <c r="A6">
        <v>1702154</v>
      </c>
      <c r="B6" t="s">
        <v>14</v>
      </c>
      <c r="C6">
        <v>76005</v>
      </c>
      <c r="D6">
        <v>116723</v>
      </c>
      <c r="E6">
        <v>1611085171</v>
      </c>
      <c r="F6">
        <v>3846327521</v>
      </c>
      <c r="G6" s="9">
        <v>0.11417941191616458</v>
      </c>
      <c r="H6" s="18">
        <f>E6+F6</f>
        <v>5457412692</v>
      </c>
      <c r="I6" s="4">
        <f>H6/C6</f>
        <v>71803.337833037294</v>
      </c>
      <c r="J6" s="8">
        <f>LN(I6)</f>
        <v>11.181686241881096</v>
      </c>
      <c r="K6" s="8">
        <f>LN(C6)</f>
        <v>11.238554406578119</v>
      </c>
      <c r="L6" s="8">
        <f>LN(D6)</f>
        <v>11.667558885402347</v>
      </c>
    </row>
    <row r="7" spans="1:12" x14ac:dyDescent="0.3">
      <c r="A7">
        <v>1703012</v>
      </c>
      <c r="B7" t="s">
        <v>15</v>
      </c>
      <c r="C7">
        <v>179898</v>
      </c>
      <c r="D7">
        <v>93633</v>
      </c>
      <c r="E7">
        <v>3304566611</v>
      </c>
      <c r="F7">
        <v>5231224008</v>
      </c>
      <c r="G7" s="9">
        <v>0.4095667490113104</v>
      </c>
      <c r="H7" s="18">
        <f>E7+F7</f>
        <v>8535790619</v>
      </c>
      <c r="I7" s="4">
        <f>H7/C7</f>
        <v>47447.94616393734</v>
      </c>
      <c r="J7" s="8">
        <f>LN(I7)</f>
        <v>10.767388518885001</v>
      </c>
      <c r="K7" s="8">
        <f>LN(C7)</f>
        <v>12.100145302589445</v>
      </c>
      <c r="L7" s="8">
        <f>LN(D7)</f>
        <v>11.447138164432129</v>
      </c>
    </row>
    <row r="8" spans="1:12" x14ac:dyDescent="0.3">
      <c r="A8">
        <v>1703610</v>
      </c>
      <c r="B8" t="s">
        <v>16</v>
      </c>
      <c r="C8">
        <v>1148</v>
      </c>
      <c r="D8">
        <v>214000</v>
      </c>
      <c r="E8">
        <v>137659488</v>
      </c>
      <c r="F8">
        <v>187982495</v>
      </c>
      <c r="G8" s="9">
        <v>0</v>
      </c>
      <c r="H8" s="18">
        <f>E8+F8</f>
        <v>325641983</v>
      </c>
      <c r="I8" s="4">
        <f>H8/C8</f>
        <v>283660.2639372822</v>
      </c>
      <c r="J8" s="8">
        <f>LN(I8)</f>
        <v>12.555532547318737</v>
      </c>
      <c r="K8" s="8">
        <f>LN(C8)</f>
        <v>7.0457765768795113</v>
      </c>
      <c r="L8" s="8">
        <f>LN(D8)</f>
        <v>12.273731294003989</v>
      </c>
    </row>
    <row r="9" spans="1:12" x14ac:dyDescent="0.3">
      <c r="A9">
        <v>1703844</v>
      </c>
      <c r="B9" t="s">
        <v>17</v>
      </c>
      <c r="C9">
        <v>11077</v>
      </c>
      <c r="D9">
        <v>147989</v>
      </c>
      <c r="E9">
        <v>749294072</v>
      </c>
      <c r="F9">
        <v>742226269</v>
      </c>
      <c r="G9" s="9">
        <v>0</v>
      </c>
      <c r="H9" s="18">
        <f>E9+F9</f>
        <v>1491520341</v>
      </c>
      <c r="I9" s="4">
        <f>H9/C9</f>
        <v>134650.20682495259</v>
      </c>
      <c r="J9" s="8">
        <f>LN(I9)</f>
        <v>11.810435634257523</v>
      </c>
      <c r="K9" s="8">
        <f>LN(C9)</f>
        <v>9.3126261655169333</v>
      </c>
      <c r="L9" s="8">
        <f>LN(D9)</f>
        <v>11.904893225659738</v>
      </c>
    </row>
    <row r="10" spans="1:12" x14ac:dyDescent="0.3">
      <c r="A10">
        <v>1703883</v>
      </c>
      <c r="B10" t="s">
        <v>18</v>
      </c>
      <c r="C10">
        <v>3879</v>
      </c>
      <c r="D10">
        <v>205074</v>
      </c>
      <c r="E10">
        <v>23426104</v>
      </c>
      <c r="F10">
        <v>463334465</v>
      </c>
      <c r="G10" s="9">
        <v>3.0384054448225572E-2</v>
      </c>
      <c r="H10" s="18">
        <f>E10+F10</f>
        <v>486760569</v>
      </c>
      <c r="I10" s="4">
        <f>H10/C10</f>
        <v>125486.09667440061</v>
      </c>
      <c r="J10" s="8">
        <f>LN(I10)</f>
        <v>11.739950247946123</v>
      </c>
      <c r="K10" s="8">
        <f>LN(C10)</f>
        <v>8.2633326674399665</v>
      </c>
      <c r="L10" s="8">
        <f>LN(D10)</f>
        <v>12.23112616859428</v>
      </c>
    </row>
    <row r="11" spans="1:12" x14ac:dyDescent="0.3">
      <c r="A11">
        <v>1704013</v>
      </c>
      <c r="B11" t="s">
        <v>19</v>
      </c>
      <c r="C11">
        <v>40501</v>
      </c>
      <c r="D11">
        <v>133240</v>
      </c>
      <c r="E11">
        <v>569014442</v>
      </c>
      <c r="F11">
        <v>1509188932</v>
      </c>
      <c r="G11" s="9">
        <v>0.14733000851477923</v>
      </c>
      <c r="H11" s="18">
        <f>E11+F11</f>
        <v>2078203374</v>
      </c>
      <c r="I11" s="4">
        <f>H11/C11</f>
        <v>51312.396582800422</v>
      </c>
      <c r="J11" s="8">
        <f>LN(I11)</f>
        <v>10.845687650754028</v>
      </c>
      <c r="K11" s="8">
        <f>LN(C11)</f>
        <v>10.609081944147828</v>
      </c>
      <c r="L11" s="8">
        <f>LN(D11)</f>
        <v>11.799907292307616</v>
      </c>
    </row>
    <row r="12" spans="1:12" x14ac:dyDescent="0.3">
      <c r="A12">
        <v>1704078</v>
      </c>
      <c r="B12" t="s">
        <v>20</v>
      </c>
      <c r="C12">
        <v>27151</v>
      </c>
      <c r="D12">
        <v>120056</v>
      </c>
      <c r="E12">
        <v>681010445</v>
      </c>
      <c r="F12">
        <v>1278114083</v>
      </c>
      <c r="G12" s="9">
        <v>0</v>
      </c>
      <c r="H12" s="18">
        <f>E12+F12</f>
        <v>1959124528</v>
      </c>
      <c r="I12" s="4">
        <f>H12/C12</f>
        <v>72156.625096681528</v>
      </c>
      <c r="J12" s="8">
        <f>LN(I12)</f>
        <v>11.186594383918287</v>
      </c>
      <c r="K12" s="8">
        <f>LN(C12)</f>
        <v>10.209169157096309</v>
      </c>
      <c r="L12" s="8">
        <f>LN(D12)</f>
        <v>11.695713579575825</v>
      </c>
    </row>
    <row r="13" spans="1:12" x14ac:dyDescent="0.3">
      <c r="A13">
        <v>1704303</v>
      </c>
      <c r="B13" t="s">
        <v>21</v>
      </c>
      <c r="C13">
        <v>14115</v>
      </c>
      <c r="D13">
        <v>85664</v>
      </c>
      <c r="E13">
        <v>92014840</v>
      </c>
      <c r="F13">
        <v>286693852</v>
      </c>
      <c r="G13" s="9">
        <v>7.3268299529791567E-2</v>
      </c>
      <c r="H13" s="18">
        <f>E13+F13</f>
        <v>378708692</v>
      </c>
      <c r="I13" s="4">
        <f>H13/C13</f>
        <v>26830.229684732552</v>
      </c>
      <c r="J13" s="8">
        <f>LN(I13)</f>
        <v>10.197284504125948</v>
      </c>
      <c r="K13" s="8">
        <f>LN(C13)</f>
        <v>9.5549933406875898</v>
      </c>
      <c r="L13" s="8">
        <f>LN(D13)</f>
        <v>11.358187946320079</v>
      </c>
    </row>
    <row r="14" spans="1:12" x14ac:dyDescent="0.3">
      <c r="A14">
        <v>1704572</v>
      </c>
      <c r="B14" t="s">
        <v>22</v>
      </c>
      <c r="C14">
        <v>586</v>
      </c>
      <c r="D14">
        <v>99000</v>
      </c>
      <c r="E14">
        <v>587958073</v>
      </c>
      <c r="F14">
        <v>657214482</v>
      </c>
      <c r="G14" s="9">
        <v>0</v>
      </c>
      <c r="H14" s="18">
        <f>E14+F14</f>
        <v>1245172555</v>
      </c>
      <c r="I14" s="4">
        <f>H14/C14</f>
        <v>2124867.8412969285</v>
      </c>
      <c r="J14" s="8">
        <f>LN(I14)</f>
        <v>14.569220166075773</v>
      </c>
      <c r="K14" s="8">
        <f>LN(C14)</f>
        <v>6.3733197895770122</v>
      </c>
      <c r="L14" s="8">
        <f>LN(D14)</f>
        <v>11.502875129116727</v>
      </c>
    </row>
    <row r="15" spans="1:12" x14ac:dyDescent="0.3">
      <c r="A15">
        <v>1704585</v>
      </c>
      <c r="B15" t="s">
        <v>23</v>
      </c>
      <c r="C15">
        <v>4728</v>
      </c>
      <c r="D15">
        <v>103415</v>
      </c>
      <c r="E15">
        <v>68277571</v>
      </c>
      <c r="F15">
        <v>130678649</v>
      </c>
      <c r="G15" s="9">
        <v>0</v>
      </c>
      <c r="H15" s="18">
        <f>E15+F15</f>
        <v>198956220</v>
      </c>
      <c r="I15" s="4">
        <f>H15/C15</f>
        <v>42080.418781725886</v>
      </c>
      <c r="J15" s="8">
        <f>LN(I15)</f>
        <v>10.647337799399283</v>
      </c>
      <c r="K15" s="8">
        <f>LN(C15)</f>
        <v>8.4612575590859347</v>
      </c>
      <c r="L15" s="8">
        <f>LN(D15)</f>
        <v>11.546505298233424</v>
      </c>
    </row>
    <row r="16" spans="1:12" x14ac:dyDescent="0.3">
      <c r="A16">
        <v>1704975</v>
      </c>
      <c r="B16" t="s">
        <v>24</v>
      </c>
      <c r="C16">
        <v>18256</v>
      </c>
      <c r="D16">
        <v>79513</v>
      </c>
      <c r="E16">
        <v>152411099</v>
      </c>
      <c r="F16">
        <v>309346201</v>
      </c>
      <c r="G16" s="9">
        <v>0.53861301825536223</v>
      </c>
      <c r="H16" s="18">
        <f>E16+F16</f>
        <v>461757300</v>
      </c>
      <c r="I16" s="4">
        <f>H16/C16</f>
        <v>25293.454206836108</v>
      </c>
      <c r="J16" s="8">
        <f>LN(I16)</f>
        <v>10.138300914237481</v>
      </c>
      <c r="K16" s="8">
        <f>LN(C16)</f>
        <v>9.8122490721018565</v>
      </c>
      <c r="L16" s="8">
        <f>LN(D16)</f>
        <v>11.283675809286734</v>
      </c>
    </row>
    <row r="17" spans="1:12" x14ac:dyDescent="0.3">
      <c r="A17">
        <v>1705248</v>
      </c>
      <c r="B17" t="s">
        <v>25</v>
      </c>
      <c r="C17">
        <v>18603</v>
      </c>
      <c r="D17">
        <v>79515</v>
      </c>
      <c r="E17">
        <v>740906853</v>
      </c>
      <c r="F17">
        <v>740546705</v>
      </c>
      <c r="G17" s="9">
        <v>0</v>
      </c>
      <c r="H17" s="18">
        <f>E17+F17</f>
        <v>1481453558</v>
      </c>
      <c r="I17" s="4">
        <f>H17/C17</f>
        <v>79635.196366177493</v>
      </c>
      <c r="J17" s="8">
        <f>LN(I17)</f>
        <v>11.285211439510398</v>
      </c>
      <c r="K17" s="8">
        <f>LN(C17)</f>
        <v>9.8310781370179878</v>
      </c>
      <c r="L17" s="8">
        <f>LN(D17)</f>
        <v>11.283700962090016</v>
      </c>
    </row>
    <row r="18" spans="1:12" x14ac:dyDescent="0.3">
      <c r="A18">
        <v>1705404</v>
      </c>
      <c r="B18" t="s">
        <v>26</v>
      </c>
      <c r="C18">
        <v>5199</v>
      </c>
      <c r="D18">
        <v>85823</v>
      </c>
      <c r="E18">
        <v>35624559</v>
      </c>
      <c r="F18">
        <v>141982282</v>
      </c>
      <c r="G18" s="9">
        <v>0</v>
      </c>
      <c r="H18" s="18">
        <f>E18+F18</f>
        <v>177606841</v>
      </c>
      <c r="I18" s="4">
        <f>H18/C18</f>
        <v>34161.731294479709</v>
      </c>
      <c r="J18" s="8">
        <f>LN(I18)</f>
        <v>10.438861328540929</v>
      </c>
      <c r="K18" s="8">
        <f>LN(C18)</f>
        <v>8.556221578383715</v>
      </c>
      <c r="L18" s="8">
        <f>LN(D18)</f>
        <v>11.360042314821044</v>
      </c>
    </row>
    <row r="19" spans="1:12" x14ac:dyDescent="0.3">
      <c r="A19">
        <v>1705573</v>
      </c>
      <c r="B19" t="s">
        <v>27</v>
      </c>
      <c r="C19">
        <v>55595</v>
      </c>
      <c r="D19">
        <v>78408</v>
      </c>
      <c r="E19">
        <v>607609922</v>
      </c>
      <c r="F19">
        <v>1058995569</v>
      </c>
      <c r="G19" s="9">
        <v>0.64953711790393009</v>
      </c>
      <c r="H19" s="18">
        <f>E19+F19</f>
        <v>1666605491</v>
      </c>
      <c r="I19" s="4">
        <f>H19/C19</f>
        <v>29977.614731540605</v>
      </c>
      <c r="J19" s="8">
        <f>LN(I19)</f>
        <v>10.308206206501392</v>
      </c>
      <c r="K19" s="8">
        <f>LN(C19)</f>
        <v>10.925848548137349</v>
      </c>
      <c r="L19" s="8">
        <f>LN(D19)</f>
        <v>11.269681241949016</v>
      </c>
    </row>
    <row r="20" spans="1:12" x14ac:dyDescent="0.3">
      <c r="A20">
        <v>1705976</v>
      </c>
      <c r="B20" t="s">
        <v>28</v>
      </c>
      <c r="C20">
        <v>1548</v>
      </c>
      <c r="D20">
        <v>162854</v>
      </c>
      <c r="E20">
        <v>16120610</v>
      </c>
      <c r="F20">
        <v>40252483</v>
      </c>
      <c r="G20" s="9">
        <v>0</v>
      </c>
      <c r="H20" s="18">
        <f>E20+F20</f>
        <v>56373093</v>
      </c>
      <c r="I20" s="4">
        <f>H20/C20</f>
        <v>36416.726744186046</v>
      </c>
      <c r="J20" s="8">
        <f>LN(I20)</f>
        <v>10.502783474014299</v>
      </c>
      <c r="K20" s="8">
        <f>LN(C20)</f>
        <v>7.3447190541496727</v>
      </c>
      <c r="L20" s="8">
        <f>LN(D20)</f>
        <v>12.000609372883538</v>
      </c>
    </row>
    <row r="21" spans="1:12" x14ac:dyDescent="0.3">
      <c r="A21">
        <v>1706587</v>
      </c>
      <c r="B21" t="s">
        <v>29</v>
      </c>
      <c r="C21">
        <v>22457</v>
      </c>
      <c r="D21">
        <v>102928</v>
      </c>
      <c r="E21">
        <v>1087835505</v>
      </c>
      <c r="F21">
        <v>1046744575</v>
      </c>
      <c r="G21" s="9">
        <v>0</v>
      </c>
      <c r="H21" s="18">
        <f>E21+F21</f>
        <v>2134580080</v>
      </c>
      <c r="I21" s="4">
        <f>H21/C21</f>
        <v>95051.880482700275</v>
      </c>
      <c r="J21" s="8">
        <f>LN(I21)</f>
        <v>11.462178131862904</v>
      </c>
      <c r="K21" s="8">
        <f>LN(C21)</f>
        <v>10.019357648578541</v>
      </c>
      <c r="L21" s="8">
        <f>LN(D21)</f>
        <v>11.541784993650781</v>
      </c>
    </row>
    <row r="22" spans="1:12" x14ac:dyDescent="0.3">
      <c r="A22">
        <v>1706704</v>
      </c>
      <c r="B22" t="s">
        <v>30</v>
      </c>
      <c r="C22">
        <v>21741</v>
      </c>
      <c r="D22">
        <v>59489</v>
      </c>
      <c r="E22">
        <v>190097785</v>
      </c>
      <c r="F22">
        <v>344449342</v>
      </c>
      <c r="G22" s="9">
        <v>0.43111091408812841</v>
      </c>
      <c r="H22" s="18">
        <f>E22+F22</f>
        <v>534547127</v>
      </c>
      <c r="I22" s="4">
        <f>H22/C22</f>
        <v>24587.053355411434</v>
      </c>
      <c r="J22" s="8">
        <f>LN(I22)</f>
        <v>10.109975297017787</v>
      </c>
      <c r="K22" s="8">
        <f>LN(C22)</f>
        <v>9.9869551577773912</v>
      </c>
      <c r="L22" s="8">
        <f>LN(D22)</f>
        <v>10.993546700492846</v>
      </c>
    </row>
    <row r="23" spans="1:12" x14ac:dyDescent="0.3">
      <c r="A23">
        <v>1707133</v>
      </c>
      <c r="B23" t="s">
        <v>31</v>
      </c>
      <c r="C23">
        <v>74096</v>
      </c>
      <c r="D23">
        <v>108400</v>
      </c>
      <c r="E23">
        <v>2020501330</v>
      </c>
      <c r="F23">
        <v>2805344734</v>
      </c>
      <c r="G23" s="9">
        <v>0.124252590568437</v>
      </c>
      <c r="H23" s="18">
        <f>E23+F23</f>
        <v>4825846064</v>
      </c>
      <c r="I23" s="4">
        <f>H23/C23</f>
        <v>65129.643489527101</v>
      </c>
      <c r="J23" s="8">
        <f>LN(I23)</f>
        <v>11.084135077696617</v>
      </c>
      <c r="K23" s="8">
        <f>LN(C23)</f>
        <v>11.213116828720533</v>
      </c>
      <c r="L23" s="8">
        <f>LN(D23)</f>
        <v>11.593583367987684</v>
      </c>
    </row>
    <row r="24" spans="1:12" x14ac:dyDescent="0.3">
      <c r="A24">
        <v>1707640</v>
      </c>
      <c r="B24" t="s">
        <v>32</v>
      </c>
      <c r="C24">
        <v>860</v>
      </c>
      <c r="D24">
        <v>89167</v>
      </c>
      <c r="E24">
        <v>6595753</v>
      </c>
      <c r="F24">
        <v>16303075</v>
      </c>
      <c r="G24" s="9">
        <v>0</v>
      </c>
      <c r="H24" s="18">
        <f>E24+F24</f>
        <v>22898828</v>
      </c>
      <c r="I24" s="4">
        <f>H24/C24</f>
        <v>26626.544186046511</v>
      </c>
      <c r="J24" s="8">
        <f>LN(I24)</f>
        <v>10.189663898927922</v>
      </c>
      <c r="K24" s="8">
        <f>LN(C24)</f>
        <v>6.7569323892475532</v>
      </c>
      <c r="L24" s="8">
        <f>LN(D24)</f>
        <v>11.398266294960859</v>
      </c>
    </row>
    <row r="25" spans="1:12" x14ac:dyDescent="0.3">
      <c r="A25">
        <v>1707770</v>
      </c>
      <c r="B25" t="s">
        <v>33</v>
      </c>
      <c r="C25">
        <v>6062</v>
      </c>
      <c r="D25">
        <v>82202</v>
      </c>
      <c r="E25">
        <v>80377418</v>
      </c>
      <c r="F25">
        <v>149282652</v>
      </c>
      <c r="G25" s="9">
        <v>0</v>
      </c>
      <c r="H25" s="18">
        <f>E25+F25</f>
        <v>229660070</v>
      </c>
      <c r="I25" s="4">
        <f>H25/C25</f>
        <v>37885.197954470474</v>
      </c>
      <c r="J25" s="8">
        <f>LN(I25)</f>
        <v>10.54231575949292</v>
      </c>
      <c r="K25" s="8">
        <f>LN(C25)</f>
        <v>8.7097950576177485</v>
      </c>
      <c r="L25" s="8">
        <f>LN(D25)</f>
        <v>11.316934911648524</v>
      </c>
    </row>
    <row r="26" spans="1:12" x14ac:dyDescent="0.3">
      <c r="A26">
        <v>1708225</v>
      </c>
      <c r="B26" t="s">
        <v>34</v>
      </c>
      <c r="C26">
        <v>16849</v>
      </c>
      <c r="D26">
        <v>66655</v>
      </c>
      <c r="E26">
        <v>656512035</v>
      </c>
      <c r="F26">
        <v>611862921</v>
      </c>
      <c r="G26" s="9">
        <v>0</v>
      </c>
      <c r="H26" s="18">
        <f>E26+F26</f>
        <v>1268374956</v>
      </c>
      <c r="I26" s="4">
        <f>H26/C26</f>
        <v>75278.945694106471</v>
      </c>
      <c r="J26" s="8">
        <f>LN(I26)</f>
        <v>11.228955769035078</v>
      </c>
      <c r="K26" s="8">
        <f>LN(C26)</f>
        <v>9.7320465868383845</v>
      </c>
      <c r="L26" s="8">
        <f>LN(D26)</f>
        <v>11.107285341547778</v>
      </c>
    </row>
    <row r="27" spans="1:12" x14ac:dyDescent="0.3">
      <c r="A27">
        <v>1708446</v>
      </c>
      <c r="B27" t="s">
        <v>35</v>
      </c>
      <c r="C27">
        <v>7896</v>
      </c>
      <c r="D27">
        <v>64697</v>
      </c>
      <c r="E27">
        <v>308110945</v>
      </c>
      <c r="F27">
        <v>384506169</v>
      </c>
      <c r="G27" s="9">
        <v>0.67529382345586397</v>
      </c>
      <c r="H27" s="18">
        <f>E27+F27</f>
        <v>692617114</v>
      </c>
      <c r="I27" s="4">
        <f>H27/C27</f>
        <v>87717.466312056742</v>
      </c>
      <c r="J27" s="8">
        <f>LN(I27)</f>
        <v>11.381876318303197</v>
      </c>
      <c r="K27" s="8">
        <f>LN(C27)</f>
        <v>8.9741115811133181</v>
      </c>
      <c r="L27" s="8">
        <f>LN(D27)</f>
        <v>11.077470111562347</v>
      </c>
    </row>
    <row r="28" spans="1:12" x14ac:dyDescent="0.3">
      <c r="A28">
        <v>1708576</v>
      </c>
      <c r="B28" t="s">
        <v>36</v>
      </c>
      <c r="C28">
        <v>19331</v>
      </c>
      <c r="D28">
        <v>110295</v>
      </c>
      <c r="E28">
        <v>145160928</v>
      </c>
      <c r="F28">
        <v>543568276</v>
      </c>
      <c r="G28" s="9">
        <v>0.7737215033887862</v>
      </c>
      <c r="H28" s="18">
        <f>E28+F28</f>
        <v>688729204</v>
      </c>
      <c r="I28" s="4">
        <f>H28/C28</f>
        <v>35628.224302933115</v>
      </c>
      <c r="J28" s="8">
        <f>LN(I28)</f>
        <v>10.480893420224463</v>
      </c>
      <c r="K28" s="8">
        <f>LN(C28)</f>
        <v>9.8694653039216913</v>
      </c>
      <c r="L28" s="8">
        <f>LN(D28)</f>
        <v>11.610913873298433</v>
      </c>
    </row>
    <row r="29" spans="1:12" x14ac:dyDescent="0.3">
      <c r="A29">
        <v>1709447</v>
      </c>
      <c r="B29" t="s">
        <v>37</v>
      </c>
      <c r="C29">
        <v>42891</v>
      </c>
      <c r="D29">
        <v>129395</v>
      </c>
      <c r="E29">
        <v>1030440576</v>
      </c>
      <c r="F29">
        <v>1912208695</v>
      </c>
      <c r="G29" s="9">
        <v>4.1655095806720352E-3</v>
      </c>
      <c r="H29" s="18">
        <f>E29+F29</f>
        <v>2942649271</v>
      </c>
      <c r="I29" s="4">
        <f>H29/C29</f>
        <v>68607.616306451237</v>
      </c>
      <c r="J29" s="8">
        <f>LN(I29)</f>
        <v>11.136158832426554</v>
      </c>
      <c r="K29" s="8">
        <f>LN(C29)</f>
        <v>10.666417292697274</v>
      </c>
      <c r="L29" s="8">
        <f>LN(D29)</f>
        <v>11.770625020426046</v>
      </c>
    </row>
    <row r="30" spans="1:12" x14ac:dyDescent="0.3">
      <c r="A30">
        <v>1709531</v>
      </c>
      <c r="B30" t="s">
        <v>38</v>
      </c>
      <c r="C30">
        <v>1269</v>
      </c>
      <c r="D30">
        <v>191250</v>
      </c>
      <c r="E30">
        <v>7303886</v>
      </c>
      <c r="F30">
        <v>78182478</v>
      </c>
      <c r="G30" s="9">
        <v>0</v>
      </c>
      <c r="H30" s="18">
        <f>E30+F30</f>
        <v>85486364</v>
      </c>
      <c r="I30" s="4">
        <f>H30/C30</f>
        <v>67365.141055949571</v>
      </c>
      <c r="J30" s="8">
        <f>LN(I30)</f>
        <v>11.117882968093339</v>
      </c>
      <c r="K30" s="8">
        <f>LN(C30)</f>
        <v>7.1459844677143876</v>
      </c>
      <c r="L30" s="8">
        <f>LN(D30)</f>
        <v>12.161336751688783</v>
      </c>
    </row>
    <row r="31" spans="1:12" x14ac:dyDescent="0.3">
      <c r="A31">
        <v>1709642</v>
      </c>
      <c r="B31" t="s">
        <v>39</v>
      </c>
      <c r="C31">
        <v>28739</v>
      </c>
      <c r="D31">
        <v>80116</v>
      </c>
      <c r="E31">
        <v>443100990</v>
      </c>
      <c r="F31">
        <v>677412001</v>
      </c>
      <c r="G31" s="9">
        <v>0.19579469411325112</v>
      </c>
      <c r="H31" s="18">
        <f>E31+F31</f>
        <v>1120512991</v>
      </c>
      <c r="I31" s="4">
        <f>H31/C31</f>
        <v>38989.282542885972</v>
      </c>
      <c r="J31" s="8">
        <f>LN(I31)</f>
        <v>10.571042080752866</v>
      </c>
      <c r="K31" s="8">
        <f>LN(C31)</f>
        <v>10.266010364316463</v>
      </c>
      <c r="L31" s="8">
        <f>LN(D31)</f>
        <v>11.291230863421124</v>
      </c>
    </row>
    <row r="32" spans="1:12" x14ac:dyDescent="0.3">
      <c r="A32">
        <v>1709759</v>
      </c>
      <c r="B32" t="s">
        <v>40</v>
      </c>
      <c r="C32">
        <v>425</v>
      </c>
      <c r="D32">
        <v>84219</v>
      </c>
      <c r="E32">
        <v>6746365</v>
      </c>
      <c r="F32">
        <v>22941687</v>
      </c>
      <c r="G32" s="9">
        <v>0</v>
      </c>
      <c r="H32" s="18">
        <f>E32+F32</f>
        <v>29688052</v>
      </c>
      <c r="I32" s="4">
        <f>H32/C32</f>
        <v>69854.240000000005</v>
      </c>
      <c r="J32" s="8">
        <f>LN(I32)</f>
        <v>11.154166064346068</v>
      </c>
      <c r="K32" s="8">
        <f>LN(C32)</f>
        <v>6.0520891689244172</v>
      </c>
      <c r="L32" s="8">
        <f>LN(D32)</f>
        <v>11.341175827981214</v>
      </c>
    </row>
    <row r="33" spans="1:12" x14ac:dyDescent="0.3">
      <c r="A33">
        <v>1709798</v>
      </c>
      <c r="B33" t="s">
        <v>41</v>
      </c>
      <c r="C33">
        <v>3937</v>
      </c>
      <c r="D33">
        <v>57790</v>
      </c>
      <c r="E33">
        <v>24007658</v>
      </c>
      <c r="F33">
        <v>67587939</v>
      </c>
      <c r="G33" s="9">
        <v>0</v>
      </c>
      <c r="H33" s="18">
        <f>E33+F33</f>
        <v>91595597</v>
      </c>
      <c r="I33" s="4">
        <f>H33/C33</f>
        <v>23265.328168656339</v>
      </c>
      <c r="J33" s="8">
        <f>LN(I33)</f>
        <v>10.054719469859743</v>
      </c>
      <c r="K33" s="8">
        <f>LN(C33)</f>
        <v>8.2781742909437384</v>
      </c>
      <c r="L33" s="8">
        <f>LN(D33)</f>
        <v>10.964571029311823</v>
      </c>
    </row>
    <row r="34" spans="1:12" x14ac:dyDescent="0.3">
      <c r="A34">
        <v>1709980</v>
      </c>
      <c r="B34" t="s">
        <v>42</v>
      </c>
      <c r="C34">
        <v>11141</v>
      </c>
      <c r="D34">
        <v>156829</v>
      </c>
      <c r="E34">
        <v>551104866</v>
      </c>
      <c r="F34">
        <v>1367708639</v>
      </c>
      <c r="G34" s="9">
        <v>0</v>
      </c>
      <c r="H34" s="18">
        <f>E34+F34</f>
        <v>1918813505</v>
      </c>
      <c r="I34" s="4">
        <f>H34/C34</f>
        <v>172229.91697334172</v>
      </c>
      <c r="J34" s="8">
        <f>LN(I34)</f>
        <v>12.056585589761173</v>
      </c>
      <c r="K34" s="8">
        <f>LN(C34)</f>
        <v>9.3183872760593172</v>
      </c>
      <c r="L34" s="8">
        <f>LN(D34)</f>
        <v>11.962911318777083</v>
      </c>
    </row>
    <row r="35" spans="1:12" x14ac:dyDescent="0.3">
      <c r="A35">
        <v>1710487</v>
      </c>
      <c r="B35" t="s">
        <v>43</v>
      </c>
      <c r="C35">
        <v>35100</v>
      </c>
      <c r="D35">
        <v>55369</v>
      </c>
      <c r="E35">
        <v>665088173</v>
      </c>
      <c r="F35">
        <v>459527750</v>
      </c>
      <c r="G35" s="9">
        <v>0.40934698748369552</v>
      </c>
      <c r="H35" s="18">
        <f>E35+F35</f>
        <v>1124615923</v>
      </c>
      <c r="I35" s="4">
        <f>H35/C35</f>
        <v>32040.339686609688</v>
      </c>
      <c r="J35" s="8">
        <f>LN(I35)</f>
        <v>10.374751003080206</v>
      </c>
      <c r="K35" s="8">
        <f>LN(C35)</f>
        <v>10.465956409453957</v>
      </c>
      <c r="L35" s="8">
        <f>LN(D35)</f>
        <v>10.921775149332449</v>
      </c>
    </row>
    <row r="36" spans="1:12" x14ac:dyDescent="0.3">
      <c r="A36">
        <v>1710513</v>
      </c>
      <c r="B36" t="s">
        <v>44</v>
      </c>
      <c r="C36">
        <v>6855</v>
      </c>
      <c r="D36">
        <v>53556</v>
      </c>
      <c r="E36">
        <v>86827291</v>
      </c>
      <c r="F36">
        <v>99930455</v>
      </c>
      <c r="G36" s="9">
        <v>0.40854092526690389</v>
      </c>
      <c r="H36" s="18">
        <f>E36+F36</f>
        <v>186757746</v>
      </c>
      <c r="I36" s="4">
        <f>H36/C36</f>
        <v>27244.018380743983</v>
      </c>
      <c r="J36" s="8">
        <f>LN(I36)</f>
        <v>10.212589267032248</v>
      </c>
      <c r="K36" s="8">
        <f>LN(C36)</f>
        <v>8.8327335919964156</v>
      </c>
      <c r="L36" s="8">
        <f>LN(D36)</f>
        <v>10.888483114417269</v>
      </c>
    </row>
    <row r="37" spans="1:12" x14ac:dyDescent="0.3">
      <c r="A37">
        <v>1710906</v>
      </c>
      <c r="B37" t="s">
        <v>45</v>
      </c>
      <c r="C37">
        <v>10877</v>
      </c>
      <c r="D37">
        <v>209134</v>
      </c>
      <c r="E37">
        <v>42360219</v>
      </c>
      <c r="F37">
        <v>587198822</v>
      </c>
      <c r="G37" s="9">
        <v>0</v>
      </c>
      <c r="H37" s="18">
        <f>E37+F37</f>
        <v>629559041</v>
      </c>
      <c r="I37" s="4">
        <f>H37/C37</f>
        <v>57879.841960099293</v>
      </c>
      <c r="J37" s="8">
        <f>LN(I37)</f>
        <v>10.966124450266559</v>
      </c>
      <c r="K37" s="8">
        <f>LN(C37)</f>
        <v>9.294405747093851</v>
      </c>
      <c r="L37" s="8">
        <f>LN(D37)</f>
        <v>12.250730473824529</v>
      </c>
    </row>
    <row r="38" spans="1:12" x14ac:dyDescent="0.3">
      <c r="A38">
        <v>1711332</v>
      </c>
      <c r="B38" t="s">
        <v>46</v>
      </c>
      <c r="C38">
        <v>39460</v>
      </c>
      <c r="D38">
        <v>102309</v>
      </c>
      <c r="E38">
        <v>879450139</v>
      </c>
      <c r="F38">
        <v>1562972232</v>
      </c>
      <c r="G38" s="9">
        <v>0</v>
      </c>
      <c r="H38" s="18">
        <f>E38+F38</f>
        <v>2442422371</v>
      </c>
      <c r="I38" s="4">
        <f>H38/C38</f>
        <v>61896.157399898635</v>
      </c>
      <c r="J38" s="8">
        <f>LN(I38)</f>
        <v>11.033213379199733</v>
      </c>
      <c r="K38" s="8">
        <f>LN(C38)</f>
        <v>10.583042779576607</v>
      </c>
      <c r="L38" s="8">
        <f>LN(D38)</f>
        <v>11.535752924609598</v>
      </c>
    </row>
    <row r="39" spans="1:12" x14ac:dyDescent="0.3">
      <c r="A39">
        <v>1711358</v>
      </c>
      <c r="B39" t="s">
        <v>47</v>
      </c>
      <c r="C39">
        <v>37346</v>
      </c>
      <c r="D39">
        <v>86917</v>
      </c>
      <c r="E39">
        <v>582591316</v>
      </c>
      <c r="F39">
        <v>804200060</v>
      </c>
      <c r="G39" s="9">
        <v>0.42089882315772847</v>
      </c>
      <c r="H39" s="18">
        <f>E39+F39</f>
        <v>1386791376</v>
      </c>
      <c r="I39" s="4">
        <f>H39/C39</f>
        <v>37133.598671879183</v>
      </c>
      <c r="J39" s="8">
        <f>LN(I39)</f>
        <v>10.522277463343958</v>
      </c>
      <c r="K39" s="8">
        <f>LN(C39)</f>
        <v>10.527981089779026</v>
      </c>
      <c r="L39" s="8">
        <f>LN(D39)</f>
        <v>11.372708919278638</v>
      </c>
    </row>
    <row r="40" spans="1:12" x14ac:dyDescent="0.3">
      <c r="A40">
        <v>1711592</v>
      </c>
      <c r="B40" t="s">
        <v>48</v>
      </c>
      <c r="C40">
        <v>17923</v>
      </c>
      <c r="D40">
        <v>113026</v>
      </c>
      <c r="E40">
        <v>242063372</v>
      </c>
      <c r="F40">
        <v>632475698</v>
      </c>
      <c r="G40" s="9">
        <v>0</v>
      </c>
      <c r="H40" s="18">
        <f>E40+F40</f>
        <v>874539070</v>
      </c>
      <c r="I40" s="4">
        <f>H40/C40</f>
        <v>48794.234782123531</v>
      </c>
      <c r="J40" s="8">
        <f>LN(I40)</f>
        <v>10.79536744515161</v>
      </c>
      <c r="K40" s="8">
        <f>LN(C40)</f>
        <v>9.793840083231597</v>
      </c>
      <c r="L40" s="8">
        <f>LN(D40)</f>
        <v>11.635373159723754</v>
      </c>
    </row>
    <row r="41" spans="1:12" x14ac:dyDescent="0.3">
      <c r="A41">
        <v>1712476</v>
      </c>
      <c r="B41" t="s">
        <v>49</v>
      </c>
      <c r="C41">
        <v>13927</v>
      </c>
      <c r="D41">
        <v>119494</v>
      </c>
      <c r="E41">
        <v>318172356</v>
      </c>
      <c r="F41">
        <v>546450179</v>
      </c>
      <c r="G41" s="9">
        <v>0</v>
      </c>
      <c r="H41" s="18">
        <f>E41+F41</f>
        <v>864622535</v>
      </c>
      <c r="I41" s="4">
        <f>H41/C41</f>
        <v>62082.468227184603</v>
      </c>
      <c r="J41" s="8">
        <f>LN(I41)</f>
        <v>11.036218912880924</v>
      </c>
      <c r="K41" s="8">
        <f>LN(C41)</f>
        <v>9.5415846810530915</v>
      </c>
      <c r="L41" s="8">
        <f>LN(D41)</f>
        <v>11.691021439888157</v>
      </c>
    </row>
    <row r="42" spans="1:12" x14ac:dyDescent="0.3">
      <c r="A42">
        <v>1714000</v>
      </c>
      <c r="B42" t="s">
        <v>50</v>
      </c>
      <c r="C42">
        <v>2711226</v>
      </c>
      <c r="D42">
        <v>77902</v>
      </c>
      <c r="E42">
        <v>41479717028</v>
      </c>
      <c r="F42">
        <v>99651574461</v>
      </c>
      <c r="G42" s="9">
        <v>0.30133542674960712</v>
      </c>
      <c r="H42" s="18">
        <f>E42+F42</f>
        <v>141131291489</v>
      </c>
      <c r="I42" s="4">
        <f>H42/C42</f>
        <v>52054.417997245524</v>
      </c>
      <c r="J42" s="8">
        <f>LN(I42)</f>
        <v>10.860044950311254</v>
      </c>
      <c r="K42" s="8">
        <f>LN(C42)</f>
        <v>14.812911489078509</v>
      </c>
      <c r="L42" s="8">
        <f>LN(D42)</f>
        <v>11.26320690547022</v>
      </c>
    </row>
    <row r="43" spans="1:12" x14ac:dyDescent="0.3">
      <c r="A43">
        <v>1714026</v>
      </c>
      <c r="B43" t="s">
        <v>51</v>
      </c>
      <c r="C43">
        <v>26736</v>
      </c>
      <c r="D43">
        <v>54798</v>
      </c>
      <c r="E43">
        <v>300536303</v>
      </c>
      <c r="F43">
        <v>436860152</v>
      </c>
      <c r="G43" s="9">
        <v>0.61677583697234351</v>
      </c>
      <c r="H43" s="18">
        <f>E43+F43</f>
        <v>737396455</v>
      </c>
      <c r="I43" s="4">
        <f>H43/C43</f>
        <v>27580.657353381208</v>
      </c>
      <c r="J43" s="8">
        <f>LN(I43)</f>
        <v>10.224869985486071</v>
      </c>
      <c r="K43" s="8">
        <f>LN(C43)</f>
        <v>10.193766250835175</v>
      </c>
      <c r="L43" s="8">
        <f>LN(D43)</f>
        <v>10.911408975919734</v>
      </c>
    </row>
    <row r="44" spans="1:12" x14ac:dyDescent="0.3">
      <c r="A44">
        <v>1714065</v>
      </c>
      <c r="B44" t="s">
        <v>52</v>
      </c>
      <c r="C44">
        <v>14099</v>
      </c>
      <c r="D44">
        <v>68964</v>
      </c>
      <c r="E44">
        <v>381713135</v>
      </c>
      <c r="F44">
        <v>388087052</v>
      </c>
      <c r="G44" s="9">
        <v>0</v>
      </c>
      <c r="H44" s="18">
        <f>E44+F44</f>
        <v>769800187</v>
      </c>
      <c r="I44" s="4">
        <f>H44/C44</f>
        <v>54599.630257465069</v>
      </c>
      <c r="J44" s="8">
        <f>LN(I44)</f>
        <v>10.907782389868768</v>
      </c>
      <c r="K44" s="8">
        <f>LN(C44)</f>
        <v>9.5538591518653604</v>
      </c>
      <c r="L44" s="8">
        <f>LN(D44)</f>
        <v>11.141339908295741</v>
      </c>
    </row>
    <row r="45" spans="1:12" x14ac:dyDescent="0.3">
      <c r="A45">
        <v>1714351</v>
      </c>
      <c r="B45" t="s">
        <v>53</v>
      </c>
      <c r="C45">
        <v>82797</v>
      </c>
      <c r="D45">
        <v>70842</v>
      </c>
      <c r="E45">
        <v>1164309435</v>
      </c>
      <c r="F45">
        <v>1071067761</v>
      </c>
      <c r="G45" s="9">
        <v>0.77353755218839426</v>
      </c>
      <c r="H45" s="18">
        <f>E45+F45</f>
        <v>2235377196</v>
      </c>
      <c r="I45" s="4">
        <f>H45/C45</f>
        <v>26998.287329251059</v>
      </c>
      <c r="J45" s="8">
        <f>LN(I45)</f>
        <v>10.203528710724596</v>
      </c>
      <c r="K45" s="8">
        <f>LN(C45)</f>
        <v>11.324147107832902</v>
      </c>
      <c r="L45" s="8">
        <f>LN(D45)</f>
        <v>11.168207324135166</v>
      </c>
    </row>
    <row r="46" spans="1:12" x14ac:dyDescent="0.3">
      <c r="A46">
        <v>1714572</v>
      </c>
      <c r="B46" t="s">
        <v>54</v>
      </c>
      <c r="C46">
        <v>8659</v>
      </c>
      <c r="D46">
        <v>130388</v>
      </c>
      <c r="E46">
        <v>125054772</v>
      </c>
      <c r="F46">
        <v>669121775</v>
      </c>
      <c r="G46" s="9">
        <v>0</v>
      </c>
      <c r="H46" s="18">
        <f>E46+F46</f>
        <v>794176547</v>
      </c>
      <c r="I46" s="4">
        <f>H46/C46</f>
        <v>91716.889594641412</v>
      </c>
      <c r="J46" s="8">
        <f>LN(I46)</f>
        <v>11.426461824432593</v>
      </c>
      <c r="K46" s="8">
        <f>LN(C46)</f>
        <v>9.066354521447801</v>
      </c>
      <c r="L46" s="8">
        <f>LN(D46)</f>
        <v>11.778269899700295</v>
      </c>
    </row>
    <row r="47" spans="1:12" x14ac:dyDescent="0.3">
      <c r="A47">
        <v>1715170</v>
      </c>
      <c r="B47" t="s">
        <v>55</v>
      </c>
      <c r="C47">
        <v>5317</v>
      </c>
      <c r="D47">
        <v>72857</v>
      </c>
      <c r="E47">
        <v>76513951</v>
      </c>
      <c r="F47">
        <v>153533293</v>
      </c>
      <c r="G47" s="9">
        <v>0</v>
      </c>
      <c r="H47" s="18">
        <f>E47+F47</f>
        <v>230047244</v>
      </c>
      <c r="I47" s="4">
        <f>H47/C47</f>
        <v>43266.361482038745</v>
      </c>
      <c r="J47" s="8">
        <f>LN(I47)</f>
        <v>10.675130740985306</v>
      </c>
      <c r="K47" s="8">
        <f>LN(C47)</f>
        <v>8.5786645135043393</v>
      </c>
      <c r="L47" s="8">
        <f>LN(D47)</f>
        <v>11.196253894858959</v>
      </c>
    </row>
    <row r="48" spans="1:12" x14ac:dyDescent="0.3">
      <c r="A48">
        <v>1716691</v>
      </c>
      <c r="B48" t="s">
        <v>56</v>
      </c>
      <c r="C48">
        <v>16324</v>
      </c>
      <c r="D48">
        <v>75197</v>
      </c>
      <c r="E48">
        <v>268161141</v>
      </c>
      <c r="F48">
        <v>297853210</v>
      </c>
      <c r="G48" s="9">
        <v>0.11678092399403875</v>
      </c>
      <c r="H48" s="18">
        <f>E48+F48</f>
        <v>566014351</v>
      </c>
      <c r="I48" s="4">
        <f>H48/C48</f>
        <v>34673.753430531731</v>
      </c>
      <c r="J48" s="8">
        <f>LN(I48)</f>
        <v>10.453738294443999</v>
      </c>
      <c r="K48" s="8">
        <f>LN(C48)</f>
        <v>9.7003916965256956</v>
      </c>
      <c r="L48" s="8">
        <f>LN(D48)</f>
        <v>11.227866615525139</v>
      </c>
    </row>
    <row r="49" spans="1:12" x14ac:dyDescent="0.3">
      <c r="A49">
        <v>1716873</v>
      </c>
      <c r="B49" t="s">
        <v>57</v>
      </c>
      <c r="C49">
        <v>6267</v>
      </c>
      <c r="D49">
        <v>80968</v>
      </c>
      <c r="E49">
        <v>811803395</v>
      </c>
      <c r="F49">
        <v>409250553</v>
      </c>
      <c r="G49" s="9">
        <v>0</v>
      </c>
      <c r="H49" s="18">
        <f>E49+F49</f>
        <v>1221053948</v>
      </c>
      <c r="I49" s="4">
        <f>H49/C49</f>
        <v>194838.67049625021</v>
      </c>
      <c r="J49" s="8">
        <f>LN(I49)</f>
        <v>12.179927164330426</v>
      </c>
      <c r="K49" s="8">
        <f>LN(C49)</f>
        <v>8.7430530502246757</v>
      </c>
      <c r="L49" s="8">
        <f>LN(D49)</f>
        <v>11.301809293868738</v>
      </c>
    </row>
    <row r="50" spans="1:12" x14ac:dyDescent="0.3">
      <c r="A50">
        <v>1717458</v>
      </c>
      <c r="B50" t="s">
        <v>58</v>
      </c>
      <c r="C50">
        <v>20628</v>
      </c>
      <c r="D50">
        <v>73033</v>
      </c>
      <c r="E50">
        <v>276903450</v>
      </c>
      <c r="F50">
        <v>472213627</v>
      </c>
      <c r="G50" s="9">
        <v>4.8878244293464976E-5</v>
      </c>
      <c r="H50" s="18">
        <f>E50+F50</f>
        <v>749117077</v>
      </c>
      <c r="I50" s="4">
        <f>H50/C50</f>
        <v>36315.54571456273</v>
      </c>
      <c r="J50" s="8">
        <f>LN(I50)</f>
        <v>10.500001185176782</v>
      </c>
      <c r="K50" s="8">
        <f>LN(C50)</f>
        <v>9.9344046551708498</v>
      </c>
      <c r="L50" s="8">
        <f>LN(D50)</f>
        <v>11.198666672779062</v>
      </c>
    </row>
    <row r="51" spans="1:12" x14ac:dyDescent="0.3">
      <c r="A51">
        <v>1717497</v>
      </c>
      <c r="B51" t="s">
        <v>59</v>
      </c>
      <c r="C51">
        <v>10579</v>
      </c>
      <c r="D51">
        <v>75752</v>
      </c>
      <c r="E51">
        <v>572182822</v>
      </c>
      <c r="F51">
        <v>422508589</v>
      </c>
      <c r="G51" s="9">
        <v>0</v>
      </c>
      <c r="H51" s="18">
        <f>E51+F51</f>
        <v>994691411</v>
      </c>
      <c r="I51" s="4">
        <f>H51/C51</f>
        <v>94025.088477171754</v>
      </c>
      <c r="J51" s="8">
        <f>LN(I51)</f>
        <v>11.451316924334337</v>
      </c>
      <c r="K51" s="8">
        <f>LN(C51)</f>
        <v>9.2666261829867747</v>
      </c>
      <c r="L51" s="8">
        <f>LN(D51)</f>
        <v>11.235220125663336</v>
      </c>
    </row>
    <row r="52" spans="1:12" x14ac:dyDescent="0.3">
      <c r="A52">
        <v>1717523</v>
      </c>
      <c r="B52" t="s">
        <v>60</v>
      </c>
      <c r="C52">
        <v>8386</v>
      </c>
      <c r="D52">
        <v>97147</v>
      </c>
      <c r="E52">
        <v>120015283</v>
      </c>
      <c r="F52">
        <v>203285194</v>
      </c>
      <c r="G52" s="9">
        <v>0</v>
      </c>
      <c r="H52" s="18">
        <f>E52+F52</f>
        <v>323300477</v>
      </c>
      <c r="I52" s="4">
        <f>H52/C52</f>
        <v>38552.406033865969</v>
      </c>
      <c r="J52" s="8">
        <f>LN(I52)</f>
        <v>10.559773790373701</v>
      </c>
      <c r="K52" s="8">
        <f>LN(C52)</f>
        <v>9.0343189277307072</v>
      </c>
      <c r="L52" s="8">
        <f>LN(D52)</f>
        <v>11.48398057424644</v>
      </c>
    </row>
    <row r="53" spans="1:12" x14ac:dyDescent="0.3">
      <c r="A53">
        <v>1717887</v>
      </c>
      <c r="B53" t="s">
        <v>61</v>
      </c>
      <c r="C53">
        <v>40579</v>
      </c>
      <c r="D53">
        <v>108418</v>
      </c>
      <c r="E53">
        <v>1587339572</v>
      </c>
      <c r="F53">
        <v>1509286921</v>
      </c>
      <c r="G53" s="9">
        <v>8.9671956095259381E-2</v>
      </c>
      <c r="H53" s="18">
        <f>E53+F53</f>
        <v>3096626493</v>
      </c>
      <c r="I53" s="4">
        <f>H53/C53</f>
        <v>76311.059735331088</v>
      </c>
      <c r="J53" s="8">
        <f>LN(I53)</f>
        <v>11.242573157427865</v>
      </c>
      <c r="K53" s="8">
        <f>LN(C53)</f>
        <v>10.611005970395047</v>
      </c>
      <c r="L53" s="8">
        <f>LN(D53)</f>
        <v>11.593749405863148</v>
      </c>
    </row>
    <row r="54" spans="1:12" x14ac:dyDescent="0.3">
      <c r="A54">
        <v>1718628</v>
      </c>
      <c r="B54" t="s">
        <v>62</v>
      </c>
      <c r="C54">
        <v>21879</v>
      </c>
      <c r="D54">
        <v>111215</v>
      </c>
      <c r="E54">
        <v>442885975</v>
      </c>
      <c r="F54">
        <v>1033303233</v>
      </c>
      <c r="G54" s="9">
        <v>0</v>
      </c>
      <c r="H54" s="18">
        <f>E54+F54</f>
        <v>1476189208</v>
      </c>
      <c r="I54" s="4">
        <f>H54/C54</f>
        <v>67470.597742127153</v>
      </c>
      <c r="J54" s="8">
        <f>LN(I54)</f>
        <v>11.119447192958649</v>
      </c>
      <c r="K54" s="8">
        <f>LN(C54)</f>
        <v>9.9932825516523422</v>
      </c>
      <c r="L54" s="8">
        <f>LN(D54)</f>
        <v>11.619220543787831</v>
      </c>
    </row>
    <row r="55" spans="1:12" x14ac:dyDescent="0.3">
      <c r="A55">
        <v>1719083</v>
      </c>
      <c r="B55" t="s">
        <v>63</v>
      </c>
      <c r="C55">
        <v>3711</v>
      </c>
      <c r="D55">
        <v>174458</v>
      </c>
      <c r="E55">
        <v>189304279</v>
      </c>
      <c r="F55">
        <v>298397728</v>
      </c>
      <c r="G55" s="9">
        <v>0</v>
      </c>
      <c r="H55" s="18">
        <f>E55+F55</f>
        <v>487702007</v>
      </c>
      <c r="I55" s="4">
        <f>H55/C55</f>
        <v>131420.64322285098</v>
      </c>
      <c r="J55" s="8">
        <f>LN(I55)</f>
        <v>11.78615847484599</v>
      </c>
      <c r="K55" s="8">
        <f>LN(C55)</f>
        <v>8.2190566610605984</v>
      </c>
      <c r="L55" s="8">
        <f>LN(D55)</f>
        <v>12.069439303975608</v>
      </c>
    </row>
    <row r="56" spans="1:12" x14ac:dyDescent="0.3">
      <c r="A56">
        <v>1718992</v>
      </c>
      <c r="B56" t="s">
        <v>64</v>
      </c>
      <c r="C56">
        <v>19518</v>
      </c>
      <c r="D56">
        <v>181660</v>
      </c>
      <c r="E56">
        <v>448633562</v>
      </c>
      <c r="F56">
        <v>1583205059</v>
      </c>
      <c r="G56" s="9">
        <v>0</v>
      </c>
      <c r="H56" s="18">
        <f>E56+F56</f>
        <v>2031838621</v>
      </c>
      <c r="I56" s="4">
        <f>H56/C56</f>
        <v>104100.75935034327</v>
      </c>
      <c r="J56" s="8">
        <f>LN(I56)</f>
        <v>11.553114549008187</v>
      </c>
      <c r="K56" s="8">
        <f>LN(C56)</f>
        <v>9.8790923957014058</v>
      </c>
      <c r="L56" s="8">
        <f>LN(D56)</f>
        <v>12.109892087056204</v>
      </c>
    </row>
    <row r="57" spans="1:12" x14ac:dyDescent="0.3">
      <c r="A57">
        <v>1719642</v>
      </c>
      <c r="B57" t="s">
        <v>65</v>
      </c>
      <c r="C57">
        <v>59156</v>
      </c>
      <c r="D57">
        <v>97875</v>
      </c>
      <c r="E57">
        <v>1705142950</v>
      </c>
      <c r="F57">
        <v>2815046596</v>
      </c>
      <c r="G57" s="9">
        <v>1.03831891223733E-2</v>
      </c>
      <c r="H57" s="18">
        <f>E57+F57</f>
        <v>4520189546</v>
      </c>
      <c r="I57" s="4">
        <f>H57/C57</f>
        <v>76411.345358036371</v>
      </c>
      <c r="J57" s="8">
        <f>LN(I57)</f>
        <v>11.243886463580397</v>
      </c>
      <c r="K57" s="8">
        <f>LN(C57)</f>
        <v>10.98793330128666</v>
      </c>
      <c r="L57" s="8">
        <f>LN(D57)</f>
        <v>11.491446433293104</v>
      </c>
    </row>
    <row r="58" spans="1:12" x14ac:dyDescent="0.3">
      <c r="A58">
        <v>1719837</v>
      </c>
      <c r="B58" t="s">
        <v>66</v>
      </c>
      <c r="C58">
        <v>2984</v>
      </c>
      <c r="D58">
        <v>73201</v>
      </c>
      <c r="E58">
        <v>44795977</v>
      </c>
      <c r="F58">
        <v>65028256</v>
      </c>
      <c r="G58" s="9">
        <v>0</v>
      </c>
      <c r="H58" s="18">
        <f>E58+F58</f>
        <v>109824233</v>
      </c>
      <c r="I58" s="4">
        <f>H58/C58</f>
        <v>36804.367627345848</v>
      </c>
      <c r="J58" s="8">
        <f>LN(I58)</f>
        <v>10.513371802640155</v>
      </c>
      <c r="K58" s="8">
        <f>LN(C58)</f>
        <v>8.0010199613236512</v>
      </c>
      <c r="L58" s="8">
        <f>LN(D58)</f>
        <v>11.200964361058276</v>
      </c>
    </row>
    <row r="59" spans="1:12" x14ac:dyDescent="0.3">
      <c r="A59">
        <v>1720149</v>
      </c>
      <c r="B59" t="s">
        <v>67</v>
      </c>
      <c r="C59">
        <v>2948</v>
      </c>
      <c r="D59">
        <v>44600</v>
      </c>
      <c r="E59">
        <v>37879474</v>
      </c>
      <c r="F59">
        <v>41233715</v>
      </c>
      <c r="G59" s="9">
        <v>0</v>
      </c>
      <c r="H59" s="18">
        <f>E59+F59</f>
        <v>79113189</v>
      </c>
      <c r="I59" s="4">
        <f>H59/C59</f>
        <v>26836.224219810039</v>
      </c>
      <c r="J59" s="8">
        <f>LN(I59)</f>
        <v>10.19750790383531</v>
      </c>
      <c r="K59" s="8">
        <f>LN(C59)</f>
        <v>7.9888822533092272</v>
      </c>
      <c r="L59" s="8">
        <f>LN(D59)</f>
        <v>10.705489138008156</v>
      </c>
    </row>
    <row r="60" spans="1:12" x14ac:dyDescent="0.3">
      <c r="A60">
        <v>1720292</v>
      </c>
      <c r="B60" t="s">
        <v>68</v>
      </c>
      <c r="C60">
        <v>20825</v>
      </c>
      <c r="D60">
        <v>57887</v>
      </c>
      <c r="E60">
        <v>192180022</v>
      </c>
      <c r="F60">
        <v>300510446</v>
      </c>
      <c r="G60" s="9">
        <v>0.60491925697750393</v>
      </c>
      <c r="H60" s="18">
        <f>E60+F60</f>
        <v>492690468</v>
      </c>
      <c r="I60" s="4">
        <f>H60/C60</f>
        <v>23658.605906362543</v>
      </c>
      <c r="J60" s="8">
        <f>LN(I60)</f>
        <v>10.071482213833711</v>
      </c>
      <c r="K60" s="8">
        <f>LN(C60)</f>
        <v>9.9439094670350432</v>
      </c>
      <c r="L60" s="8">
        <f>LN(D60)</f>
        <v>10.966248113308387</v>
      </c>
    </row>
    <row r="61" spans="1:12" x14ac:dyDescent="0.3">
      <c r="A61">
        <v>1720591</v>
      </c>
      <c r="B61" t="s">
        <v>69</v>
      </c>
      <c r="C61">
        <v>50054</v>
      </c>
      <c r="D61">
        <v>115114</v>
      </c>
      <c r="E61">
        <v>1538568276</v>
      </c>
      <c r="F61">
        <v>3071475945</v>
      </c>
      <c r="G61" s="9">
        <v>0</v>
      </c>
      <c r="H61" s="18">
        <f>E61+F61</f>
        <v>4610044221</v>
      </c>
      <c r="I61" s="4">
        <f>H61/C61</f>
        <v>92101.414891916735</v>
      </c>
      <c r="J61" s="8">
        <f>LN(I61)</f>
        <v>11.430645584686923</v>
      </c>
      <c r="K61" s="8">
        <f>LN(C61)</f>
        <v>10.820857701629848</v>
      </c>
      <c r="L61" s="8">
        <f>LN(D61)</f>
        <v>11.65367822067553</v>
      </c>
    </row>
    <row r="62" spans="1:12" x14ac:dyDescent="0.3">
      <c r="A62">
        <v>1721696</v>
      </c>
      <c r="B62" t="s">
        <v>70</v>
      </c>
      <c r="C62">
        <v>3146</v>
      </c>
      <c r="D62">
        <v>89583</v>
      </c>
      <c r="E62">
        <v>172813587</v>
      </c>
      <c r="F62">
        <v>132226120</v>
      </c>
      <c r="G62" s="9">
        <v>0</v>
      </c>
      <c r="H62" s="18">
        <f>E62+F62</f>
        <v>305039707</v>
      </c>
      <c r="I62" s="4">
        <f>H62/C62</f>
        <v>96961.127463445649</v>
      </c>
      <c r="J62" s="8">
        <f>LN(I62)</f>
        <v>11.482065429365132</v>
      </c>
      <c r="K62" s="8">
        <f>LN(C62)</f>
        <v>8.053887083618223</v>
      </c>
      <c r="L62" s="8">
        <f>LN(D62)</f>
        <v>11.402920848818745</v>
      </c>
    </row>
    <row r="63" spans="1:12" x14ac:dyDescent="0.3">
      <c r="A63">
        <v>1721904</v>
      </c>
      <c r="B63" t="s">
        <v>71</v>
      </c>
      <c r="C63">
        <v>1068</v>
      </c>
      <c r="D63">
        <v>54950</v>
      </c>
      <c r="E63">
        <v>9559665</v>
      </c>
      <c r="F63">
        <v>30112203</v>
      </c>
      <c r="G63" s="9">
        <v>0</v>
      </c>
      <c r="H63" s="18">
        <f>E63+F63</f>
        <v>39671868</v>
      </c>
      <c r="I63" s="4">
        <f>H63/C63</f>
        <v>37145.943820224718</v>
      </c>
      <c r="J63" s="8">
        <f>LN(I63)</f>
        <v>10.522609860341705</v>
      </c>
      <c r="K63" s="8">
        <f>LN(C63)</f>
        <v>6.9735430195201404</v>
      </c>
      <c r="L63" s="8">
        <f>LN(D63)</f>
        <v>10.914178959831768</v>
      </c>
    </row>
    <row r="64" spans="1:12" x14ac:dyDescent="0.3">
      <c r="A64">
        <v>1722931</v>
      </c>
      <c r="B64" t="s">
        <v>72</v>
      </c>
      <c r="C64">
        <v>6354</v>
      </c>
      <c r="D64">
        <v>127731</v>
      </c>
      <c r="E64">
        <v>149646488</v>
      </c>
      <c r="F64">
        <v>252728400</v>
      </c>
      <c r="G64" s="9">
        <v>0</v>
      </c>
      <c r="H64" s="18">
        <f>E64+F64</f>
        <v>402374888</v>
      </c>
      <c r="I64" s="4">
        <f>H64/C64</f>
        <v>63326.233553666978</v>
      </c>
      <c r="J64" s="8">
        <f>LN(I64)</f>
        <v>11.056054954406433</v>
      </c>
      <c r="K64" s="8">
        <f>LN(C64)</f>
        <v>8.7568398148294619</v>
      </c>
      <c r="L64" s="8">
        <f>LN(D64)</f>
        <v>11.757681769020502</v>
      </c>
    </row>
    <row r="65" spans="1:12" x14ac:dyDescent="0.3">
      <c r="A65">
        <v>1723074</v>
      </c>
      <c r="B65" t="s">
        <v>73</v>
      </c>
      <c r="C65">
        <v>114934</v>
      </c>
      <c r="D65">
        <v>90282</v>
      </c>
      <c r="E65">
        <v>2322344487</v>
      </c>
      <c r="F65">
        <v>3548670387</v>
      </c>
      <c r="G65" s="9">
        <v>0.35435595006838155</v>
      </c>
      <c r="H65" s="18">
        <f>E65+F65</f>
        <v>5871014874</v>
      </c>
      <c r="I65" s="4">
        <f>H65/C65</f>
        <v>51081.619659978773</v>
      </c>
      <c r="J65" s="8">
        <f>LN(I65)</f>
        <v>10.841180017944067</v>
      </c>
      <c r="K65" s="8">
        <f>LN(C65)</f>
        <v>11.652113329550779</v>
      </c>
      <c r="L65" s="8">
        <f>LN(D65)</f>
        <v>11.410693383986933</v>
      </c>
    </row>
    <row r="66" spans="1:12" x14ac:dyDescent="0.3">
      <c r="A66">
        <v>1723256</v>
      </c>
      <c r="B66" t="s">
        <v>74</v>
      </c>
      <c r="C66">
        <v>31987</v>
      </c>
      <c r="D66">
        <v>94175</v>
      </c>
      <c r="E66">
        <v>1692315044</v>
      </c>
      <c r="F66">
        <v>2673397498</v>
      </c>
      <c r="G66" s="9">
        <v>2.1028891868828479E-2</v>
      </c>
      <c r="H66" s="18">
        <f>E66+F66</f>
        <v>4365712542</v>
      </c>
      <c r="I66" s="4">
        <f>H66/C66</f>
        <v>136483.96354769124</v>
      </c>
      <c r="J66" s="8">
        <f>LN(I66)</f>
        <v>11.823962403538367</v>
      </c>
      <c r="K66" s="8">
        <f>LN(C66)</f>
        <v>10.373084849239977</v>
      </c>
      <c r="L66" s="8">
        <f>LN(D66)</f>
        <v>11.452910032560242</v>
      </c>
    </row>
    <row r="67" spans="1:12" x14ac:dyDescent="0.3">
      <c r="A67">
        <v>1723620</v>
      </c>
      <c r="B67" t="s">
        <v>75</v>
      </c>
      <c r="C67">
        <v>45671</v>
      </c>
      <c r="D67">
        <v>149644</v>
      </c>
      <c r="E67">
        <v>1543188201</v>
      </c>
      <c r="F67">
        <v>3129505100</v>
      </c>
      <c r="G67" s="9">
        <v>0</v>
      </c>
      <c r="H67" s="18">
        <f>E67+F67</f>
        <v>4672693301</v>
      </c>
      <c r="I67" s="4">
        <f>H67/C67</f>
        <v>102312.04267478269</v>
      </c>
      <c r="J67" s="8">
        <f>LN(I67)</f>
        <v>11.535782664217443</v>
      </c>
      <c r="K67" s="8">
        <f>LN(C67)</f>
        <v>10.729218802151282</v>
      </c>
      <c r="L67" s="8">
        <f>LN(D67)</f>
        <v>11.916014418925457</v>
      </c>
    </row>
    <row r="68" spans="1:12" x14ac:dyDescent="0.3">
      <c r="A68">
        <v>1723724</v>
      </c>
      <c r="B68" t="s">
        <v>76</v>
      </c>
      <c r="C68">
        <v>23868</v>
      </c>
      <c r="D68">
        <v>91955</v>
      </c>
      <c r="E68">
        <v>235760372</v>
      </c>
      <c r="F68">
        <v>642332471</v>
      </c>
      <c r="G68" s="9">
        <v>0.40736511561518696</v>
      </c>
      <c r="H68" s="18">
        <f>E68+F68</f>
        <v>878092843</v>
      </c>
      <c r="I68" s="4">
        <f>H68/C68</f>
        <v>36789.544285235461</v>
      </c>
      <c r="J68" s="8">
        <f>LN(I68)</f>
        <v>10.512968961102706</v>
      </c>
      <c r="K68" s="8">
        <f>LN(C68)</f>
        <v>10.080293928641973</v>
      </c>
      <c r="L68" s="8">
        <f>LN(D68)</f>
        <v>11.429054605933082</v>
      </c>
    </row>
    <row r="69" spans="1:12" x14ac:dyDescent="0.3">
      <c r="A69">
        <v>1723945</v>
      </c>
      <c r="B69" t="s">
        <v>77</v>
      </c>
      <c r="C69">
        <v>2001</v>
      </c>
      <c r="D69">
        <v>86458</v>
      </c>
      <c r="E69">
        <v>108908101</v>
      </c>
      <c r="F69">
        <v>477720617</v>
      </c>
      <c r="G69" s="9">
        <v>0</v>
      </c>
      <c r="H69" s="18">
        <f>E69+F69</f>
        <v>586628718</v>
      </c>
      <c r="I69" s="4">
        <f>H69/C69</f>
        <v>293167.77511244378</v>
      </c>
      <c r="J69" s="8">
        <f>LN(I69)</f>
        <v>12.588500335425175</v>
      </c>
      <c r="K69" s="8">
        <f>LN(C69)</f>
        <v>7.6014023345837334</v>
      </c>
      <c r="L69" s="8">
        <f>LN(D69)</f>
        <v>11.367414025869872</v>
      </c>
    </row>
    <row r="70" spans="1:12" x14ac:dyDescent="0.3">
      <c r="A70">
        <v>1724582</v>
      </c>
      <c r="B70" t="s">
        <v>78</v>
      </c>
      <c r="C70">
        <v>76340</v>
      </c>
      <c r="D70">
        <v>96434</v>
      </c>
      <c r="E70">
        <v>1391464648</v>
      </c>
      <c r="F70">
        <v>3845100807</v>
      </c>
      <c r="G70" s="9">
        <v>0</v>
      </c>
      <c r="H70" s="18">
        <f>E70+F70</f>
        <v>5236565455</v>
      </c>
      <c r="I70" s="4">
        <f>H70/C70</f>
        <v>68595.303314121033</v>
      </c>
      <c r="J70" s="8">
        <f>LN(I70)</f>
        <v>11.135979346561424</v>
      </c>
      <c r="K70" s="8">
        <f>LN(C70)</f>
        <v>11.242952326299221</v>
      </c>
      <c r="L70" s="8">
        <f>LN(D70)</f>
        <v>11.476614115511072</v>
      </c>
    </row>
    <row r="71" spans="1:12" x14ac:dyDescent="0.3">
      <c r="A71">
        <v>1724634</v>
      </c>
      <c r="B71" t="s">
        <v>79</v>
      </c>
      <c r="C71">
        <v>19420</v>
      </c>
      <c r="D71">
        <v>95719</v>
      </c>
      <c r="E71">
        <v>826842953</v>
      </c>
      <c r="F71">
        <v>561537461</v>
      </c>
      <c r="G71" s="9">
        <v>0.25718297146868574</v>
      </c>
      <c r="H71" s="18">
        <f>E71+F71</f>
        <v>1388380414</v>
      </c>
      <c r="I71" s="4">
        <f>H71/C71</f>
        <v>71492.297322348095</v>
      </c>
      <c r="J71" s="8">
        <f>LN(I71)</f>
        <v>11.177344993121462</v>
      </c>
      <c r="K71" s="8">
        <f>LN(C71)</f>
        <v>9.8740587418453156</v>
      </c>
      <c r="L71" s="8">
        <f>LN(D71)</f>
        <v>11.469172094830254</v>
      </c>
    </row>
    <row r="72" spans="1:12" x14ac:dyDescent="0.3">
      <c r="A72">
        <v>1726571</v>
      </c>
      <c r="B72" t="s">
        <v>80</v>
      </c>
      <c r="C72">
        <v>9391</v>
      </c>
      <c r="D72">
        <v>133663</v>
      </c>
      <c r="E72">
        <v>128097796</v>
      </c>
      <c r="F72">
        <v>306440873</v>
      </c>
      <c r="G72" s="9">
        <v>0</v>
      </c>
      <c r="H72" s="18">
        <f>E72+F72</f>
        <v>434538669</v>
      </c>
      <c r="I72" s="4">
        <f>H72/C72</f>
        <v>46271.820785858799</v>
      </c>
      <c r="J72" s="8">
        <f>LN(I72)</f>
        <v>10.742288432452906</v>
      </c>
      <c r="K72" s="8">
        <f>LN(C72)</f>
        <v>9.147507062804614</v>
      </c>
      <c r="L72" s="8">
        <f>LN(D72)</f>
        <v>11.803076985822901</v>
      </c>
    </row>
    <row r="73" spans="1:12" x14ac:dyDescent="0.3">
      <c r="A73">
        <v>1726710</v>
      </c>
      <c r="B73" t="s">
        <v>81</v>
      </c>
      <c r="C73">
        <v>1331</v>
      </c>
      <c r="D73">
        <v>36053</v>
      </c>
      <c r="E73">
        <v>12459419</v>
      </c>
      <c r="F73">
        <v>18987009</v>
      </c>
      <c r="G73" s="9">
        <v>1.26861555432984E-2</v>
      </c>
      <c r="H73" s="18">
        <f>E73+F73</f>
        <v>31446428</v>
      </c>
      <c r="I73" s="4">
        <f>H73/C73</f>
        <v>23626.1667918858</v>
      </c>
      <c r="J73" s="8">
        <f>LN(I73)</f>
        <v>10.070110139158725</v>
      </c>
      <c r="K73" s="8">
        <f>LN(C73)</f>
        <v>7.193685818395112</v>
      </c>
      <c r="L73" s="8">
        <f>LN(D73)</f>
        <v>10.492745357003811</v>
      </c>
    </row>
    <row r="74" spans="1:12" x14ac:dyDescent="0.3">
      <c r="A74">
        <v>1726935</v>
      </c>
      <c r="B74" t="s">
        <v>82</v>
      </c>
      <c r="C74">
        <v>13943</v>
      </c>
      <c r="D74">
        <v>77221</v>
      </c>
      <c r="E74">
        <v>387647036</v>
      </c>
      <c r="F74">
        <v>516865466</v>
      </c>
      <c r="G74" s="9">
        <v>0</v>
      </c>
      <c r="H74" s="18">
        <f>E74+F74</f>
        <v>904512502</v>
      </c>
      <c r="I74" s="4">
        <f>H74/C74</f>
        <v>64872.158215592055</v>
      </c>
      <c r="J74" s="8">
        <f>LN(I74)</f>
        <v>11.080173815510186</v>
      </c>
      <c r="K74" s="8">
        <f>LN(C74)</f>
        <v>9.5427328691950208</v>
      </c>
      <c r="L74" s="8">
        <f>LN(D74)</f>
        <v>11.254426719747327</v>
      </c>
    </row>
    <row r="75" spans="1:12" x14ac:dyDescent="0.3">
      <c r="A75">
        <v>1726987</v>
      </c>
      <c r="B75" t="s">
        <v>83</v>
      </c>
      <c r="C75">
        <v>1174</v>
      </c>
      <c r="D75">
        <v>89702</v>
      </c>
      <c r="E75">
        <v>71922902</v>
      </c>
      <c r="F75">
        <v>112857464</v>
      </c>
      <c r="G75" s="9">
        <v>0</v>
      </c>
      <c r="H75" s="18">
        <f>E75+F75</f>
        <v>184780366</v>
      </c>
      <c r="I75" s="4">
        <f>H75/C75</f>
        <v>157393.83816013628</v>
      </c>
      <c r="J75" s="8">
        <f>LN(I75)</f>
        <v>11.966506466550715</v>
      </c>
      <c r="K75" s="8">
        <f>LN(C75)</f>
        <v>7.0681720003880422</v>
      </c>
      <c r="L75" s="8">
        <f>LN(D75)</f>
        <v>11.404248344342358</v>
      </c>
    </row>
    <row r="76" spans="1:12" x14ac:dyDescent="0.3">
      <c r="A76">
        <v>1727442</v>
      </c>
      <c r="B76" t="s">
        <v>84</v>
      </c>
      <c r="C76">
        <v>11131</v>
      </c>
      <c r="D76">
        <v>70819</v>
      </c>
      <c r="E76">
        <v>388087726</v>
      </c>
      <c r="F76">
        <v>384103344</v>
      </c>
      <c r="G76" s="9">
        <v>0</v>
      </c>
      <c r="H76" s="18">
        <f>E76+F76</f>
        <v>772191070</v>
      </c>
      <c r="I76" s="4">
        <f>H76/C76</f>
        <v>69373.018596711889</v>
      </c>
      <c r="J76" s="8">
        <f>LN(I76)</f>
        <v>11.147253289872753</v>
      </c>
      <c r="K76" s="8">
        <f>LN(C76)</f>
        <v>9.3174892874932258</v>
      </c>
      <c r="L76" s="8">
        <f>LN(D76)</f>
        <v>11.167882605261203</v>
      </c>
    </row>
    <row r="77" spans="1:12" x14ac:dyDescent="0.3">
      <c r="A77">
        <v>1727533</v>
      </c>
      <c r="B77" t="s">
        <v>85</v>
      </c>
      <c r="C77">
        <v>4523</v>
      </c>
      <c r="D77">
        <v>121506</v>
      </c>
      <c r="E77">
        <v>80370112</v>
      </c>
      <c r="F77">
        <v>168983784</v>
      </c>
      <c r="G77" s="9">
        <v>0</v>
      </c>
      <c r="H77" s="18">
        <f>E77+F77</f>
        <v>249353896</v>
      </c>
      <c r="I77" s="4">
        <f>H77/C77</f>
        <v>55130.200309529071</v>
      </c>
      <c r="J77" s="8">
        <f>LN(I77)</f>
        <v>10.917452944980521</v>
      </c>
      <c r="K77" s="8">
        <f>LN(C77)</f>
        <v>8.4169307694778439</v>
      </c>
      <c r="L77" s="8">
        <f>LN(D77)</f>
        <v>11.707718923259504</v>
      </c>
    </row>
    <row r="78" spans="1:12" x14ac:dyDescent="0.3">
      <c r="A78">
        <v>1727624</v>
      </c>
      <c r="B78" t="s">
        <v>86</v>
      </c>
      <c r="C78">
        <v>20651</v>
      </c>
      <c r="D78">
        <v>154375</v>
      </c>
      <c r="E78">
        <v>727386342</v>
      </c>
      <c r="F78">
        <v>1175440282</v>
      </c>
      <c r="G78" s="9">
        <v>0</v>
      </c>
      <c r="H78" s="18">
        <f>E78+F78</f>
        <v>1902826624</v>
      </c>
      <c r="I78" s="4">
        <f>H78/C78</f>
        <v>92142.105660742818</v>
      </c>
      <c r="J78" s="8">
        <f>LN(I78)</f>
        <v>11.431087291069494</v>
      </c>
      <c r="K78" s="8">
        <f>LN(C78)</f>
        <v>9.9355190233667923</v>
      </c>
      <c r="L78" s="8">
        <f>LN(D78)</f>
        <v>11.947139986364379</v>
      </c>
    </row>
    <row r="79" spans="1:12" x14ac:dyDescent="0.3">
      <c r="A79">
        <v>1727702</v>
      </c>
      <c r="B79" t="s">
        <v>87</v>
      </c>
      <c r="C79">
        <v>18197</v>
      </c>
      <c r="D79">
        <v>76519</v>
      </c>
      <c r="E79">
        <v>363146819</v>
      </c>
      <c r="F79">
        <v>1152489115</v>
      </c>
      <c r="G79" s="9">
        <v>0</v>
      </c>
      <c r="H79" s="18">
        <f>E79+F79</f>
        <v>1515635934</v>
      </c>
      <c r="I79" s="4">
        <f>H79/C79</f>
        <v>83290.42886190032</v>
      </c>
      <c r="J79" s="8">
        <f>LN(I79)</f>
        <v>11.330088921936424</v>
      </c>
      <c r="K79" s="8">
        <f>LN(C79)</f>
        <v>9.8090120243132422</v>
      </c>
      <c r="L79" s="8">
        <f>LN(D79)</f>
        <v>11.245294354989968</v>
      </c>
    </row>
    <row r="80" spans="1:12" x14ac:dyDescent="0.3">
      <c r="A80">
        <v>1728872</v>
      </c>
      <c r="B80" t="s">
        <v>88</v>
      </c>
      <c r="C80">
        <v>21258</v>
      </c>
      <c r="D80">
        <v>144341</v>
      </c>
      <c r="E80">
        <v>673520858</v>
      </c>
      <c r="F80">
        <v>1238427027</v>
      </c>
      <c r="G80" s="9">
        <v>0</v>
      </c>
      <c r="H80" s="18">
        <f>E80+F80</f>
        <v>1911947885</v>
      </c>
      <c r="I80" s="4">
        <f>H80/C80</f>
        <v>89940.158293348388</v>
      </c>
      <c r="J80" s="8">
        <f>LN(I80)</f>
        <v>11.406899820311457</v>
      </c>
      <c r="K80" s="8">
        <f>LN(C80)</f>
        <v>9.9644885740935276</v>
      </c>
      <c r="L80" s="8">
        <f>LN(D80)</f>
        <v>11.879933834688728</v>
      </c>
    </row>
    <row r="81" spans="1:12" x14ac:dyDescent="0.3">
      <c r="A81">
        <v>1729171</v>
      </c>
      <c r="B81" t="s">
        <v>89</v>
      </c>
      <c r="C81">
        <v>8606</v>
      </c>
      <c r="D81">
        <v>146333</v>
      </c>
      <c r="E81">
        <v>58164726</v>
      </c>
      <c r="F81">
        <v>287826359</v>
      </c>
      <c r="G81" s="9">
        <v>0</v>
      </c>
      <c r="H81" s="18">
        <f>E81+F81</f>
        <v>345991085</v>
      </c>
      <c r="I81" s="4">
        <f>H81/C81</f>
        <v>40203.47257727167</v>
      </c>
      <c r="J81" s="8">
        <f>LN(I81)</f>
        <v>10.601708653395553</v>
      </c>
      <c r="K81" s="8">
        <f>LN(C81)</f>
        <v>9.0602149133985446</v>
      </c>
      <c r="L81" s="8">
        <f>LN(D81)</f>
        <v>11.893640125482277</v>
      </c>
    </row>
    <row r="82" spans="1:12" x14ac:dyDescent="0.3">
      <c r="A82">
        <v>1729756</v>
      </c>
      <c r="B82" t="s">
        <v>90</v>
      </c>
      <c r="C82">
        <v>28390</v>
      </c>
      <c r="D82">
        <v>140938</v>
      </c>
      <c r="E82">
        <v>529594977</v>
      </c>
      <c r="F82">
        <v>1712572298</v>
      </c>
      <c r="G82" s="9">
        <v>0</v>
      </c>
      <c r="H82" s="18">
        <f>E82+F82</f>
        <v>2242167275</v>
      </c>
      <c r="I82" s="4">
        <f>H82/C82</f>
        <v>78977.360866502291</v>
      </c>
      <c r="J82" s="8">
        <f>LN(I82)</f>
        <v>11.276916519069657</v>
      </c>
      <c r="K82" s="8">
        <f>LN(C82)</f>
        <v>10.253792249467017</v>
      </c>
      <c r="L82" s="8">
        <f>LN(D82)</f>
        <v>11.856075356344682</v>
      </c>
    </row>
    <row r="83" spans="1:12" x14ac:dyDescent="0.3">
      <c r="A83">
        <v>1729652</v>
      </c>
      <c r="B83" t="s">
        <v>91</v>
      </c>
      <c r="C83">
        <v>8701</v>
      </c>
      <c r="D83">
        <v>248933</v>
      </c>
      <c r="E83">
        <v>254358684</v>
      </c>
      <c r="F83">
        <v>1209833184</v>
      </c>
      <c r="G83" s="9">
        <v>0</v>
      </c>
      <c r="H83" s="18">
        <f>E83+F83</f>
        <v>1464191868</v>
      </c>
      <c r="I83" s="4">
        <f>H83/C83</f>
        <v>168278.57349729916</v>
      </c>
      <c r="J83" s="8">
        <f>LN(I83)</f>
        <v>12.033376060709289</v>
      </c>
      <c r="K83" s="8">
        <f>LN(C83)</f>
        <v>9.0711932405660249</v>
      </c>
      <c r="L83" s="8">
        <f>LN(D83)</f>
        <v>12.424939062934099</v>
      </c>
    </row>
    <row r="84" spans="1:12" x14ac:dyDescent="0.3">
      <c r="A84">
        <v>1729730</v>
      </c>
      <c r="B84" t="s">
        <v>92</v>
      </c>
      <c r="C84">
        <v>32808</v>
      </c>
      <c r="D84">
        <v>86545</v>
      </c>
      <c r="E84">
        <v>910334392</v>
      </c>
      <c r="F84">
        <v>937886760</v>
      </c>
      <c r="G84" s="9">
        <v>0</v>
      </c>
      <c r="H84" s="18">
        <f>E84+F84</f>
        <v>1848221152</v>
      </c>
      <c r="I84" s="4">
        <f>H84/C84</f>
        <v>56334.465740063402</v>
      </c>
      <c r="J84" s="8">
        <f>LN(I84)</f>
        <v>10.939061806929677</v>
      </c>
      <c r="K84" s="8">
        <f>LN(C84)</f>
        <v>10.398427667071894</v>
      </c>
      <c r="L84" s="8">
        <f>LN(D84)</f>
        <v>11.3684197888605</v>
      </c>
    </row>
    <row r="85" spans="1:12" x14ac:dyDescent="0.3">
      <c r="A85">
        <v>1729938</v>
      </c>
      <c r="B85" t="s">
        <v>93</v>
      </c>
      <c r="C85">
        <v>47752</v>
      </c>
      <c r="D85">
        <v>143056</v>
      </c>
      <c r="E85">
        <v>2466066931</v>
      </c>
      <c r="F85">
        <v>3893390163</v>
      </c>
      <c r="G85" s="9">
        <v>0</v>
      </c>
      <c r="H85" s="18">
        <f>E85+F85</f>
        <v>6359457094</v>
      </c>
      <c r="I85" s="4">
        <f>H85/C85</f>
        <v>133176.76943374099</v>
      </c>
      <c r="J85" s="8">
        <f>LN(I85)</f>
        <v>11.799432618227748</v>
      </c>
      <c r="K85" s="8">
        <f>LN(C85)</f>
        <v>10.773776229848485</v>
      </c>
      <c r="L85" s="8">
        <f>LN(D85)</f>
        <v>11.8709914409751</v>
      </c>
    </row>
    <row r="86" spans="1:12" x14ac:dyDescent="0.3">
      <c r="A86">
        <v>1730029</v>
      </c>
      <c r="B86" t="s">
        <v>94</v>
      </c>
      <c r="C86">
        <v>8603</v>
      </c>
      <c r="D86">
        <v>77391</v>
      </c>
      <c r="E86">
        <v>84647546</v>
      </c>
      <c r="F86">
        <v>158159067</v>
      </c>
      <c r="G86" s="9">
        <v>0.35407527129993072</v>
      </c>
      <c r="H86" s="18">
        <f>E86+F86</f>
        <v>242806613</v>
      </c>
      <c r="I86" s="4">
        <f>H86/C86</f>
        <v>28223.481692432873</v>
      </c>
      <c r="J86" s="8">
        <f>LN(I86)</f>
        <v>10.247909594565932</v>
      </c>
      <c r="K86" s="8">
        <f>LN(C86)</f>
        <v>9.0598662586213479</v>
      </c>
      <c r="L86" s="8">
        <f>LN(D86)</f>
        <v>11.256625773747116</v>
      </c>
    </row>
    <row r="87" spans="1:12" x14ac:dyDescent="0.3">
      <c r="A87">
        <v>1730120</v>
      </c>
      <c r="B87" t="s">
        <v>95</v>
      </c>
      <c r="C87">
        <v>602</v>
      </c>
      <c r="D87">
        <v>53438</v>
      </c>
      <c r="E87">
        <v>1352062</v>
      </c>
      <c r="F87">
        <v>8193746</v>
      </c>
      <c r="G87" s="9">
        <v>0</v>
      </c>
      <c r="H87" s="18">
        <f>E87+F87</f>
        <v>9545808</v>
      </c>
      <c r="I87" s="4">
        <f>H87/C87</f>
        <v>15856.823920265781</v>
      </c>
      <c r="J87" s="8">
        <f>LN(I87)</f>
        <v>9.6713552179004942</v>
      </c>
      <c r="K87" s="8">
        <f>LN(C87)</f>
        <v>6.4002574453088208</v>
      </c>
      <c r="L87" s="8">
        <f>LN(D87)</f>
        <v>10.886277382360488</v>
      </c>
    </row>
    <row r="88" spans="1:12" x14ac:dyDescent="0.3">
      <c r="A88">
        <v>1730328</v>
      </c>
      <c r="B88" t="s">
        <v>96</v>
      </c>
      <c r="C88">
        <v>518</v>
      </c>
      <c r="D88">
        <v>242772</v>
      </c>
      <c r="E88">
        <v>6754747</v>
      </c>
      <c r="F88">
        <v>50749640</v>
      </c>
      <c r="G88" s="9">
        <v>0</v>
      </c>
      <c r="H88" s="18">
        <f>E88+F88</f>
        <v>57504387</v>
      </c>
      <c r="I88" s="4">
        <f>H88/C88</f>
        <v>111012.33011583012</v>
      </c>
      <c r="J88" s="8">
        <f>LN(I88)</f>
        <v>11.617396556249904</v>
      </c>
      <c r="K88" s="8">
        <f>LN(C88)</f>
        <v>6.2499752422594828</v>
      </c>
      <c r="L88" s="8">
        <f>LN(D88)</f>
        <v>12.399878010265414</v>
      </c>
    </row>
    <row r="89" spans="1:12" x14ac:dyDescent="0.3">
      <c r="A89">
        <v>1731121</v>
      </c>
      <c r="B89" t="s">
        <v>97</v>
      </c>
      <c r="C89">
        <v>20929</v>
      </c>
      <c r="D89">
        <v>113972</v>
      </c>
      <c r="E89">
        <v>319515512</v>
      </c>
      <c r="F89">
        <v>727564291</v>
      </c>
      <c r="G89" s="9">
        <v>0.16862763554216867</v>
      </c>
      <c r="H89" s="18">
        <f>E89+F89</f>
        <v>1047079803</v>
      </c>
      <c r="I89" s="4">
        <f>H89/C89</f>
        <v>50030.092359883412</v>
      </c>
      <c r="J89" s="8">
        <f>LN(I89)</f>
        <v>10.820379950570562</v>
      </c>
      <c r="K89" s="8">
        <f>LN(C89)</f>
        <v>9.9488910359899769</v>
      </c>
      <c r="L89" s="8">
        <f>LN(D89)</f>
        <v>11.643708083173477</v>
      </c>
    </row>
    <row r="90" spans="1:12" x14ac:dyDescent="0.3">
      <c r="A90">
        <v>1731446</v>
      </c>
      <c r="B90" t="s">
        <v>98</v>
      </c>
      <c r="C90">
        <v>4096</v>
      </c>
      <c r="D90">
        <v>147614</v>
      </c>
      <c r="E90">
        <v>66811955</v>
      </c>
      <c r="F90">
        <v>289972549</v>
      </c>
      <c r="G90" s="9">
        <v>0</v>
      </c>
      <c r="H90" s="18">
        <f>E90+F90</f>
        <v>356784504</v>
      </c>
      <c r="I90" s="4">
        <f>H90/C90</f>
        <v>87105.591796875</v>
      </c>
      <c r="J90" s="8">
        <f>LN(I90)</f>
        <v>11.37487636051438</v>
      </c>
      <c r="K90" s="8">
        <f>LN(C90)</f>
        <v>8.317766166719343</v>
      </c>
      <c r="L90" s="8">
        <f>LN(D90)</f>
        <v>11.902356037598953</v>
      </c>
    </row>
    <row r="91" spans="1:12" x14ac:dyDescent="0.3">
      <c r="A91">
        <v>1731667</v>
      </c>
      <c r="B91" t="s">
        <v>99</v>
      </c>
      <c r="C91">
        <v>502</v>
      </c>
      <c r="D91">
        <v>131250</v>
      </c>
      <c r="E91">
        <v>695746</v>
      </c>
      <c r="F91">
        <v>13089687</v>
      </c>
      <c r="G91" s="9">
        <v>0</v>
      </c>
      <c r="H91" s="18">
        <f>E91+F91</f>
        <v>13785433</v>
      </c>
      <c r="I91" s="4">
        <f>H91/C91</f>
        <v>27461.021912350596</v>
      </c>
      <c r="J91" s="8">
        <f>LN(I91)</f>
        <v>10.220522893208926</v>
      </c>
      <c r="K91" s="8">
        <f>LN(C91)</f>
        <v>6.2186001196917289</v>
      </c>
      <c r="L91" s="8">
        <f>LN(D91)</f>
        <v>11.78485918045387</v>
      </c>
    </row>
    <row r="92" spans="1:12" x14ac:dyDescent="0.3">
      <c r="A92">
        <v>1732018</v>
      </c>
      <c r="B92" t="s">
        <v>100</v>
      </c>
      <c r="C92">
        <v>30510</v>
      </c>
      <c r="D92">
        <v>119628</v>
      </c>
      <c r="E92">
        <v>1624474029</v>
      </c>
      <c r="F92">
        <v>1325717325</v>
      </c>
      <c r="G92" s="9">
        <v>0</v>
      </c>
      <c r="H92" s="18">
        <f>E92+F92</f>
        <v>2950191354</v>
      </c>
      <c r="I92" s="4">
        <f>H92/C92</f>
        <v>96695.88180924287</v>
      </c>
      <c r="J92" s="8">
        <f>LN(I92)</f>
        <v>11.479326093246444</v>
      </c>
      <c r="K92" s="8">
        <f>LN(C92)</f>
        <v>10.325809777710715</v>
      </c>
      <c r="L92" s="8">
        <f>LN(D92)</f>
        <v>11.692142206810704</v>
      </c>
    </row>
    <row r="93" spans="1:12" x14ac:dyDescent="0.3">
      <c r="A93">
        <v>1732200</v>
      </c>
      <c r="B93" t="s">
        <v>101</v>
      </c>
      <c r="C93">
        <v>3524</v>
      </c>
      <c r="D93">
        <v>129911</v>
      </c>
      <c r="E93">
        <v>52720501</v>
      </c>
      <c r="F93">
        <v>88103851</v>
      </c>
      <c r="G93" s="9">
        <v>0.40439932318104904</v>
      </c>
      <c r="H93" s="18">
        <f>E93+F93</f>
        <v>140824352</v>
      </c>
      <c r="I93" s="4">
        <f>H93/C93</f>
        <v>39961.507377979571</v>
      </c>
      <c r="J93" s="8">
        <f>LN(I93)</f>
        <v>10.595671954222688</v>
      </c>
      <c r="K93" s="8">
        <f>LN(C93)</f>
        <v>8.1673519870560707</v>
      </c>
      <c r="L93" s="8">
        <f>LN(D93)</f>
        <v>11.774604879596977</v>
      </c>
    </row>
    <row r="94" spans="1:12" x14ac:dyDescent="0.3">
      <c r="A94">
        <v>1732525</v>
      </c>
      <c r="B94" t="s">
        <v>102</v>
      </c>
      <c r="C94">
        <v>8524</v>
      </c>
      <c r="D94">
        <v>94773</v>
      </c>
      <c r="E94">
        <v>115105465</v>
      </c>
      <c r="F94">
        <v>312041414</v>
      </c>
      <c r="G94" s="9">
        <v>0</v>
      </c>
      <c r="H94" s="18">
        <f>E94+F94</f>
        <v>427146879</v>
      </c>
      <c r="I94" s="4">
        <f>H94/C94</f>
        <v>50111.083880807135</v>
      </c>
      <c r="J94" s="8">
        <f>LN(I94)</f>
        <v>10.821997497749921</v>
      </c>
      <c r="K94" s="8">
        <f>LN(C94)</f>
        <v>9.0506409932185079</v>
      </c>
      <c r="L94" s="8">
        <f>LN(D94)</f>
        <v>11.459239837550424</v>
      </c>
    </row>
    <row r="95" spans="1:12" x14ac:dyDescent="0.3">
      <c r="A95">
        <v>1732746</v>
      </c>
      <c r="B95" t="s">
        <v>103</v>
      </c>
      <c r="C95">
        <v>36732</v>
      </c>
      <c r="D95">
        <v>91763</v>
      </c>
      <c r="E95">
        <v>888935932</v>
      </c>
      <c r="F95">
        <v>874979819</v>
      </c>
      <c r="G95" s="9">
        <v>0.19661062183079797</v>
      </c>
      <c r="H95" s="18">
        <f>E95+F95</f>
        <v>1763915751</v>
      </c>
      <c r="I95" s="4">
        <f>H95/C95</f>
        <v>48021.228111728196</v>
      </c>
      <c r="J95" s="8">
        <f>LN(I95)</f>
        <v>10.779398444452962</v>
      </c>
      <c r="K95" s="8">
        <f>LN(C95)</f>
        <v>10.511403588733414</v>
      </c>
      <c r="L95" s="8">
        <f>LN(D95)</f>
        <v>11.426964445253123</v>
      </c>
    </row>
    <row r="96" spans="1:12" x14ac:dyDescent="0.3">
      <c r="A96">
        <v>1733331</v>
      </c>
      <c r="B96" t="s">
        <v>104</v>
      </c>
      <c r="C96">
        <v>9598</v>
      </c>
      <c r="D96">
        <v>67617</v>
      </c>
      <c r="E96">
        <v>176556748</v>
      </c>
      <c r="F96">
        <v>168040274</v>
      </c>
      <c r="G96" s="9">
        <v>0</v>
      </c>
      <c r="H96" s="18">
        <f>E96+F96</f>
        <v>344597022</v>
      </c>
      <c r="I96" s="4">
        <f>H96/C96</f>
        <v>35903.002917274433</v>
      </c>
      <c r="J96" s="8">
        <f>LN(I96)</f>
        <v>10.488576217698915</v>
      </c>
      <c r="K96" s="8">
        <f>LN(C96)</f>
        <v>9.1693100224181912</v>
      </c>
      <c r="L96" s="8">
        <f>LN(D96)</f>
        <v>11.12161470970538</v>
      </c>
    </row>
    <row r="97" spans="1:12" x14ac:dyDescent="0.3">
      <c r="A97">
        <v>1733383</v>
      </c>
      <c r="B97" t="s">
        <v>105</v>
      </c>
      <c r="C97">
        <v>20230</v>
      </c>
      <c r="D97">
        <v>42429</v>
      </c>
      <c r="E97">
        <v>138398094</v>
      </c>
      <c r="F97">
        <v>257717248</v>
      </c>
      <c r="G97" s="9">
        <v>0.53690218460932893</v>
      </c>
      <c r="H97" s="18">
        <f>E97+F97</f>
        <v>396115342</v>
      </c>
      <c r="I97" s="4">
        <f>H97/C97</f>
        <v>19580.590311418684</v>
      </c>
      <c r="J97" s="8">
        <f>LN(I97)</f>
        <v>9.8822940643235366</v>
      </c>
      <c r="K97" s="8">
        <f>LN(C97)</f>
        <v>9.9149219301617908</v>
      </c>
      <c r="L97" s="8">
        <f>LN(D97)</f>
        <v>10.655587369688609</v>
      </c>
    </row>
    <row r="98" spans="1:12" x14ac:dyDescent="0.3">
      <c r="A98">
        <v>1733435</v>
      </c>
      <c r="B98" t="s">
        <v>106</v>
      </c>
      <c r="C98">
        <v>8821</v>
      </c>
      <c r="D98">
        <v>81086</v>
      </c>
      <c r="E98">
        <v>237517458</v>
      </c>
      <c r="F98">
        <v>336242183</v>
      </c>
      <c r="G98" s="9">
        <v>0</v>
      </c>
      <c r="H98" s="18">
        <f>E98+F98</f>
        <v>573759641</v>
      </c>
      <c r="I98" s="4">
        <f>H98/C98</f>
        <v>65044.738805124136</v>
      </c>
      <c r="J98" s="8">
        <f>LN(I98)</f>
        <v>11.082830601424924</v>
      </c>
      <c r="K98" s="8">
        <f>LN(C98)</f>
        <v>9.0848905212587674</v>
      </c>
      <c r="L98" s="8">
        <f>LN(D98)</f>
        <v>11.303265598814678</v>
      </c>
    </row>
    <row r="99" spans="1:12" x14ac:dyDescent="0.3">
      <c r="A99">
        <v>1733630</v>
      </c>
      <c r="B99" t="s">
        <v>107</v>
      </c>
      <c r="C99">
        <v>9143</v>
      </c>
      <c r="D99">
        <v>219631</v>
      </c>
      <c r="E99">
        <v>40591914</v>
      </c>
      <c r="F99">
        <v>553666866</v>
      </c>
      <c r="G99" s="9">
        <v>0</v>
      </c>
      <c r="H99" s="18">
        <f>E99+F99</f>
        <v>594258780</v>
      </c>
      <c r="I99" s="4">
        <f>H99/C99</f>
        <v>64996.038499398448</v>
      </c>
      <c r="J99" s="8">
        <f>LN(I99)</f>
        <v>11.08208160085738</v>
      </c>
      <c r="K99" s="8">
        <f>LN(C99)</f>
        <v>9.1207438381644259</v>
      </c>
      <c r="L99" s="8">
        <f>LN(D99)</f>
        <v>12.299704144410486</v>
      </c>
    </row>
    <row r="100" spans="1:12" x14ac:dyDescent="0.3">
      <c r="A100">
        <v>1733695</v>
      </c>
      <c r="B100" t="s">
        <v>108</v>
      </c>
      <c r="C100">
        <v>13792</v>
      </c>
      <c r="D100">
        <v>68393</v>
      </c>
      <c r="E100">
        <v>100297831</v>
      </c>
      <c r="F100">
        <v>222154507</v>
      </c>
      <c r="G100" s="9">
        <v>0.2873262591540876</v>
      </c>
      <c r="H100" s="18">
        <f>E100+F100</f>
        <v>322452338</v>
      </c>
      <c r="I100" s="4">
        <f>H100/C100</f>
        <v>23379.664878190255</v>
      </c>
      <c r="J100" s="8">
        <f>LN(I100)</f>
        <v>10.059621901227448</v>
      </c>
      <c r="K100" s="8">
        <f>LN(C100)</f>
        <v>9.5318439929034735</v>
      </c>
      <c r="L100" s="8">
        <f>LN(D100)</f>
        <v>11.133025759192344</v>
      </c>
    </row>
    <row r="101" spans="1:12" x14ac:dyDescent="0.3">
      <c r="A101">
        <v>1733851</v>
      </c>
      <c r="B101" t="s">
        <v>109</v>
      </c>
      <c r="C101">
        <v>1261</v>
      </c>
      <c r="D101">
        <v>85375</v>
      </c>
      <c r="E101">
        <v>13827606</v>
      </c>
      <c r="F101">
        <v>34497609</v>
      </c>
      <c r="G101" s="9">
        <v>0</v>
      </c>
      <c r="H101" s="18">
        <f>E101+F101</f>
        <v>48325215</v>
      </c>
      <c r="I101" s="4">
        <f>H101/C101</f>
        <v>38322.930214115782</v>
      </c>
      <c r="J101" s="8">
        <f>LN(I101)</f>
        <v>10.55380369612679</v>
      </c>
      <c r="K101" s="8">
        <f>LN(C101)</f>
        <v>7.13966033596492</v>
      </c>
      <c r="L101" s="8">
        <f>LN(D101)</f>
        <v>11.354808596873092</v>
      </c>
    </row>
    <row r="102" spans="1:12" x14ac:dyDescent="0.3">
      <c r="A102">
        <v>1734514</v>
      </c>
      <c r="B102" t="s">
        <v>110</v>
      </c>
      <c r="C102">
        <v>14526</v>
      </c>
      <c r="D102">
        <v>77262</v>
      </c>
      <c r="E102">
        <v>263667520</v>
      </c>
      <c r="F102">
        <v>398322791</v>
      </c>
      <c r="G102" s="9">
        <v>0</v>
      </c>
      <c r="H102" s="18">
        <f>E102+F102</f>
        <v>661990311</v>
      </c>
      <c r="I102" s="4">
        <f>H102/C102</f>
        <v>45572.787484510533</v>
      </c>
      <c r="J102" s="8">
        <f>LN(I102)</f>
        <v>10.727066051676401</v>
      </c>
      <c r="K102" s="8">
        <f>LN(C102)</f>
        <v>9.5836954261661127</v>
      </c>
      <c r="L102" s="8">
        <f>LN(D102)</f>
        <v>11.254957522501838</v>
      </c>
    </row>
    <row r="103" spans="1:12" x14ac:dyDescent="0.3">
      <c r="A103">
        <v>1734722</v>
      </c>
      <c r="B103" t="s">
        <v>111</v>
      </c>
      <c r="C103">
        <v>30398</v>
      </c>
      <c r="D103">
        <v>168094</v>
      </c>
      <c r="E103">
        <v>1207654276</v>
      </c>
      <c r="F103">
        <v>2580489664</v>
      </c>
      <c r="G103" s="9">
        <v>0</v>
      </c>
      <c r="H103" s="18">
        <f>E103+F103</f>
        <v>3788143940</v>
      </c>
      <c r="I103" s="4">
        <f>H103/C103</f>
        <v>124618.19659188105</v>
      </c>
      <c r="J103" s="8">
        <f>LN(I103)</f>
        <v>11.733009914735929</v>
      </c>
      <c r="K103" s="8">
        <f>LN(C103)</f>
        <v>10.322132095756407</v>
      </c>
      <c r="L103" s="8">
        <f>LN(D103)</f>
        <v>12.032278625719838</v>
      </c>
    </row>
    <row r="104" spans="1:12" x14ac:dyDescent="0.3">
      <c r="A104">
        <v>1734865</v>
      </c>
      <c r="B104" t="s">
        <v>112</v>
      </c>
      <c r="C104">
        <v>5301</v>
      </c>
      <c r="D104">
        <v>107875</v>
      </c>
      <c r="E104">
        <v>92713210</v>
      </c>
      <c r="F104">
        <v>166254157</v>
      </c>
      <c r="G104" s="9">
        <v>0</v>
      </c>
      <c r="H104" s="18">
        <f>E104+F104</f>
        <v>258967367</v>
      </c>
      <c r="I104" s="4">
        <f>H104/C104</f>
        <v>48852.54989624599</v>
      </c>
      <c r="J104" s="8">
        <f>LN(I104)</f>
        <v>10.79656185459883</v>
      </c>
      <c r="K104" s="8">
        <f>LN(C104)</f>
        <v>8.5756507609878057</v>
      </c>
      <c r="L104" s="8">
        <f>LN(D104)</f>
        <v>11.588728428385728</v>
      </c>
    </row>
    <row r="105" spans="1:12" x14ac:dyDescent="0.3">
      <c r="A105">
        <v>1735086</v>
      </c>
      <c r="B105" t="s">
        <v>113</v>
      </c>
      <c r="C105">
        <v>8084</v>
      </c>
      <c r="D105">
        <v>72320</v>
      </c>
      <c r="E105">
        <v>419920234</v>
      </c>
      <c r="F105">
        <v>290259367</v>
      </c>
      <c r="G105" s="9">
        <v>4.807692307692308E-4</v>
      </c>
      <c r="H105" s="18">
        <f>E105+F105</f>
        <v>710179601</v>
      </c>
      <c r="I105" s="4">
        <f>H105/C105</f>
        <v>87850.024863928746</v>
      </c>
      <c r="J105" s="8">
        <f>LN(I105)</f>
        <v>11.38338637664228</v>
      </c>
      <c r="K105" s="8">
        <f>LN(C105)</f>
        <v>8.9976420785235121</v>
      </c>
      <c r="L105" s="8">
        <f>LN(D105)</f>
        <v>11.188855995066058</v>
      </c>
    </row>
    <row r="106" spans="1:12" x14ac:dyDescent="0.3">
      <c r="A106">
        <v>1735307</v>
      </c>
      <c r="B106" t="s">
        <v>114</v>
      </c>
      <c r="C106">
        <v>17175</v>
      </c>
      <c r="D106">
        <v>250001</v>
      </c>
      <c r="E106">
        <v>423283960</v>
      </c>
      <c r="F106">
        <v>2149182405</v>
      </c>
      <c r="G106" s="9">
        <v>0</v>
      </c>
      <c r="H106" s="18">
        <f>E106+F106</f>
        <v>2572466365</v>
      </c>
      <c r="I106" s="4">
        <f>H106/C106</f>
        <v>149779.70101892285</v>
      </c>
      <c r="J106" s="8">
        <f>LN(I106)</f>
        <v>11.91692083366652</v>
      </c>
      <c r="K106" s="8">
        <f>LN(C106)</f>
        <v>9.751210117090551</v>
      </c>
      <c r="L106" s="8">
        <f>LN(D106)</f>
        <v>12.429220196836383</v>
      </c>
    </row>
    <row r="107" spans="1:12" x14ac:dyDescent="0.3">
      <c r="A107">
        <v>1735385</v>
      </c>
      <c r="B107" t="s">
        <v>115</v>
      </c>
      <c r="C107">
        <v>1597</v>
      </c>
      <c r="D107">
        <v>62417</v>
      </c>
      <c r="E107">
        <v>709797827</v>
      </c>
      <c r="F107">
        <v>314868263</v>
      </c>
      <c r="G107" s="9">
        <v>0</v>
      </c>
      <c r="H107" s="18">
        <f>E107+F107</f>
        <v>1024666090</v>
      </c>
      <c r="I107" s="4">
        <f>H107/C107</f>
        <v>641619.34251721983</v>
      </c>
      <c r="J107" s="8">
        <f>LN(I107)</f>
        <v>13.371750482394889</v>
      </c>
      <c r="K107" s="8">
        <f>LN(C107)</f>
        <v>7.3758821482150125</v>
      </c>
      <c r="L107" s="8">
        <f>LN(D107)</f>
        <v>11.041592953151035</v>
      </c>
    </row>
    <row r="108" spans="1:12" x14ac:dyDescent="0.3">
      <c r="A108">
        <v>1735411</v>
      </c>
      <c r="B108" t="s">
        <v>116</v>
      </c>
      <c r="C108">
        <v>51175</v>
      </c>
      <c r="D108">
        <v>106806</v>
      </c>
      <c r="E108">
        <v>973428410</v>
      </c>
      <c r="F108">
        <v>1991155078</v>
      </c>
      <c r="G108" s="9">
        <v>3.0515895678659814E-2</v>
      </c>
      <c r="H108" s="18">
        <f>E108+F108</f>
        <v>2964583488</v>
      </c>
      <c r="I108" s="4">
        <f>H108/C108</f>
        <v>57930.307532975086</v>
      </c>
      <c r="J108" s="8">
        <f>LN(I108)</f>
        <v>10.966995972776305</v>
      </c>
      <c r="K108" s="8">
        <f>LN(C108)</f>
        <v>10.84300641052949</v>
      </c>
      <c r="L108" s="8">
        <f>LN(D108)</f>
        <v>11.578769383705488</v>
      </c>
    </row>
    <row r="109" spans="1:12" x14ac:dyDescent="0.3">
      <c r="A109">
        <v>1735515</v>
      </c>
      <c r="B109" t="s">
        <v>117</v>
      </c>
      <c r="C109">
        <v>634</v>
      </c>
      <c r="D109">
        <v>74083</v>
      </c>
      <c r="E109">
        <v>1371689</v>
      </c>
      <c r="F109">
        <v>14469333</v>
      </c>
      <c r="G109" s="9">
        <v>0</v>
      </c>
      <c r="H109" s="18">
        <f>E109+F109</f>
        <v>15841022</v>
      </c>
      <c r="I109" s="4">
        <f>H109/C109</f>
        <v>24985.839116719242</v>
      </c>
      <c r="J109" s="8">
        <f>LN(I109)</f>
        <v>10.126064508034009</v>
      </c>
      <c r="K109" s="8">
        <f>LN(C109)</f>
        <v>6.4520489544372257</v>
      </c>
      <c r="L109" s="8">
        <f>LN(D109)</f>
        <v>11.212941365260349</v>
      </c>
    </row>
    <row r="110" spans="1:12" x14ac:dyDescent="0.3">
      <c r="A110">
        <v>1735835</v>
      </c>
      <c r="B110" t="s">
        <v>118</v>
      </c>
      <c r="C110">
        <v>24529</v>
      </c>
      <c r="D110">
        <v>136678</v>
      </c>
      <c r="E110">
        <v>497028347</v>
      </c>
      <c r="F110">
        <v>1188476475</v>
      </c>
      <c r="G110" s="9">
        <v>0</v>
      </c>
      <c r="H110" s="18">
        <f>E110+F110</f>
        <v>1685504822</v>
      </c>
      <c r="I110" s="4">
        <f>H110/C110</f>
        <v>68714.779322434668</v>
      </c>
      <c r="J110" s="8">
        <f>LN(I110)</f>
        <v>11.137719583493359</v>
      </c>
      <c r="K110" s="8">
        <f>LN(C110)</f>
        <v>10.107611370013084</v>
      </c>
      <c r="L110" s="8">
        <f>LN(D110)</f>
        <v>11.82538307340341</v>
      </c>
    </row>
    <row r="111" spans="1:12" x14ac:dyDescent="0.3">
      <c r="A111">
        <v>1735866</v>
      </c>
      <c r="B111" t="s">
        <v>119</v>
      </c>
      <c r="C111">
        <v>4215</v>
      </c>
      <c r="D111">
        <v>61101</v>
      </c>
      <c r="E111">
        <v>29192922</v>
      </c>
      <c r="F111">
        <v>69731395</v>
      </c>
      <c r="G111" s="9">
        <v>1</v>
      </c>
      <c r="H111" s="18">
        <f>E111+F111</f>
        <v>98924317</v>
      </c>
      <c r="I111" s="4">
        <f>H111/C111</f>
        <v>23469.588849347569</v>
      </c>
      <c r="J111" s="8">
        <f>LN(I111)</f>
        <v>10.063460770555603</v>
      </c>
      <c r="K111" s="8">
        <f>LN(C111)</f>
        <v>8.3464048704359559</v>
      </c>
      <c r="L111" s="8">
        <f>LN(D111)</f>
        <v>11.020283511637867</v>
      </c>
    </row>
    <row r="112" spans="1:12" x14ac:dyDescent="0.3">
      <c r="A112">
        <v>1735879</v>
      </c>
      <c r="B112" t="s">
        <v>120</v>
      </c>
      <c r="C112">
        <v>19294</v>
      </c>
      <c r="D112">
        <v>100139</v>
      </c>
      <c r="E112">
        <v>606618943</v>
      </c>
      <c r="F112">
        <v>522253881</v>
      </c>
      <c r="G112" s="9">
        <v>0.23973693675178545</v>
      </c>
      <c r="H112" s="18">
        <f>E112+F112</f>
        <v>1128872824</v>
      </c>
      <c r="I112" s="4">
        <f>H112/C112</f>
        <v>58509.009225666014</v>
      </c>
      <c r="J112" s="8">
        <f>LN(I112)</f>
        <v>10.976936025220111</v>
      </c>
      <c r="K112" s="8">
        <f>LN(C112)</f>
        <v>9.8675494457304982</v>
      </c>
      <c r="L112" s="8">
        <f>LN(D112)</f>
        <v>11.514314499814503</v>
      </c>
    </row>
    <row r="113" spans="1:12" x14ac:dyDescent="0.3">
      <c r="A113">
        <v>1736750</v>
      </c>
      <c r="B113" t="s">
        <v>121</v>
      </c>
      <c r="C113">
        <v>28005</v>
      </c>
      <c r="D113">
        <v>88536</v>
      </c>
      <c r="E113">
        <v>656724709</v>
      </c>
      <c r="F113">
        <v>1232121249</v>
      </c>
      <c r="G113" s="9">
        <v>0</v>
      </c>
      <c r="H113" s="18">
        <f>E113+F113</f>
        <v>1888845958</v>
      </c>
      <c r="I113" s="4">
        <f>H113/C113</f>
        <v>67446.740153544015</v>
      </c>
      <c r="J113" s="8">
        <f>LN(I113)</f>
        <v>11.119093530646541</v>
      </c>
      <c r="K113" s="8">
        <f>LN(C113)</f>
        <v>10.240138344643933</v>
      </c>
      <c r="L113" s="8">
        <f>LN(D113)</f>
        <v>11.391164527944621</v>
      </c>
    </row>
    <row r="114" spans="1:12" x14ac:dyDescent="0.3">
      <c r="A114">
        <v>1737218</v>
      </c>
      <c r="B114" t="s">
        <v>122</v>
      </c>
      <c r="C114">
        <v>874</v>
      </c>
      <c r="D114">
        <v>164250</v>
      </c>
      <c r="E114">
        <v>4624400</v>
      </c>
      <c r="F114">
        <v>26964809</v>
      </c>
      <c r="G114" s="9">
        <v>0</v>
      </c>
      <c r="H114" s="18">
        <f>E114+F114</f>
        <v>31589209</v>
      </c>
      <c r="I114" s="4">
        <f>H114/C114</f>
        <v>36143.259725400458</v>
      </c>
      <c r="J114" s="8">
        <f>LN(I114)</f>
        <v>10.495245757239752</v>
      </c>
      <c r="K114" s="8">
        <f>LN(C114)</f>
        <v>6.7730803756555353</v>
      </c>
      <c r="L114" s="8">
        <f>LN(D114)</f>
        <v>12.009144936346857</v>
      </c>
    </row>
    <row r="115" spans="1:12" x14ac:dyDescent="0.3">
      <c r="A115">
        <v>1737257</v>
      </c>
      <c r="B115" t="s">
        <v>123</v>
      </c>
      <c r="C115">
        <v>3974</v>
      </c>
      <c r="D115">
        <v>100149</v>
      </c>
      <c r="E115">
        <v>31413997</v>
      </c>
      <c r="F115">
        <v>194516929</v>
      </c>
      <c r="G115" s="9">
        <v>0</v>
      </c>
      <c r="H115" s="18">
        <f>E115+F115</f>
        <v>225930926</v>
      </c>
      <c r="I115" s="4">
        <f>H115/C115</f>
        <v>56852.271263210874</v>
      </c>
      <c r="J115" s="8">
        <f>LN(I115)</f>
        <v>10.948211450240098</v>
      </c>
      <c r="K115" s="8">
        <f>LN(C115)</f>
        <v>8.2875284231117625</v>
      </c>
      <c r="L115" s="8">
        <f>LN(D115)</f>
        <v>11.514414356021648</v>
      </c>
    </row>
    <row r="116" spans="1:12" x14ac:dyDescent="0.3">
      <c r="A116">
        <v>1737608</v>
      </c>
      <c r="B116" t="s">
        <v>124</v>
      </c>
      <c r="C116">
        <v>7275</v>
      </c>
      <c r="D116">
        <v>207434</v>
      </c>
      <c r="E116">
        <v>28185675</v>
      </c>
      <c r="F116">
        <v>507323136</v>
      </c>
      <c r="G116" s="9">
        <v>0</v>
      </c>
      <c r="H116" s="18">
        <f>E116+F116</f>
        <v>535508811</v>
      </c>
      <c r="I116" s="4">
        <f>H116/C116</f>
        <v>73609.458556701036</v>
      </c>
      <c r="J116" s="8">
        <f>LN(I116)</f>
        <v>11.206528809458534</v>
      </c>
      <c r="K116" s="8">
        <f>LN(C116)</f>
        <v>8.8921990920396929</v>
      </c>
      <c r="L116" s="8">
        <f>LN(D116)</f>
        <v>12.242568495768014</v>
      </c>
    </row>
    <row r="117" spans="1:12" x14ac:dyDescent="0.3">
      <c r="A117">
        <v>1737894</v>
      </c>
      <c r="B117" t="s">
        <v>125</v>
      </c>
      <c r="C117">
        <v>8014</v>
      </c>
      <c r="D117">
        <v>103156</v>
      </c>
      <c r="E117">
        <v>103445099</v>
      </c>
      <c r="F117">
        <v>232101133</v>
      </c>
      <c r="G117" s="9">
        <v>0</v>
      </c>
      <c r="H117" s="18">
        <f>E117+F117</f>
        <v>335546232</v>
      </c>
      <c r="I117" s="4">
        <f>H117/C117</f>
        <v>41870.006488644874</v>
      </c>
      <c r="J117" s="8">
        <f>LN(I117)</f>
        <v>10.642325013984394</v>
      </c>
      <c r="K117" s="8">
        <f>LN(C117)</f>
        <v>8.9889452911960905</v>
      </c>
      <c r="L117" s="8">
        <f>LN(D117)</f>
        <v>11.543997684524639</v>
      </c>
    </row>
    <row r="118" spans="1:12" x14ac:dyDescent="0.3">
      <c r="A118">
        <v>1737907</v>
      </c>
      <c r="B118" t="s">
        <v>126</v>
      </c>
      <c r="C118">
        <v>9355</v>
      </c>
      <c r="D118">
        <v>114294</v>
      </c>
      <c r="E118">
        <v>483111871</v>
      </c>
      <c r="F118">
        <v>804524535</v>
      </c>
      <c r="G118" s="9">
        <v>0</v>
      </c>
      <c r="H118" s="18">
        <f>E118+F118</f>
        <v>1287636406</v>
      </c>
      <c r="I118" s="4">
        <f>H118/C118</f>
        <v>137641.51854623196</v>
      </c>
      <c r="J118" s="8">
        <f>LN(I118)</f>
        <v>11.832407892589819</v>
      </c>
      <c r="K118" s="8">
        <f>LN(C118)</f>
        <v>9.1436662387081906</v>
      </c>
      <c r="L118" s="8">
        <f>LN(D118)</f>
        <v>11.646529354966754</v>
      </c>
    </row>
    <row r="119" spans="1:12" x14ac:dyDescent="0.3">
      <c r="A119">
        <v>1738479</v>
      </c>
      <c r="B119" t="s">
        <v>127</v>
      </c>
      <c r="C119">
        <v>6386</v>
      </c>
      <c r="D119">
        <v>121023</v>
      </c>
      <c r="E119">
        <v>172734625</v>
      </c>
      <c r="F119">
        <v>287802225</v>
      </c>
      <c r="G119" s="9">
        <v>0</v>
      </c>
      <c r="H119" s="18">
        <f>E119+F119</f>
        <v>460536850</v>
      </c>
      <c r="I119" s="4">
        <f>H119/C119</f>
        <v>72116.6379580332</v>
      </c>
      <c r="J119" s="8">
        <f>LN(I119)</f>
        <v>11.186040058898868</v>
      </c>
      <c r="K119" s="8">
        <f>LN(C119)</f>
        <v>8.7618633732747266</v>
      </c>
      <c r="L119" s="8">
        <f>LN(D119)</f>
        <v>11.70373588916009</v>
      </c>
    </row>
    <row r="120" spans="1:12" x14ac:dyDescent="0.3">
      <c r="A120">
        <v>1738570</v>
      </c>
      <c r="B120" t="s">
        <v>128</v>
      </c>
      <c r="C120">
        <v>150445</v>
      </c>
      <c r="D120">
        <v>92201</v>
      </c>
      <c r="E120">
        <v>3285291363</v>
      </c>
      <c r="F120">
        <v>4252403083</v>
      </c>
      <c r="G120" s="9">
        <v>0.3251885449781195</v>
      </c>
      <c r="H120" s="18">
        <f>E120+F120</f>
        <v>7537694446</v>
      </c>
      <c r="I120" s="4">
        <f>H120/C120</f>
        <v>50102.658420020605</v>
      </c>
      <c r="J120" s="8">
        <f>LN(I120)</f>
        <v>10.821829347941064</v>
      </c>
      <c r="K120" s="8">
        <f>LN(C120)</f>
        <v>11.921352847873505</v>
      </c>
      <c r="L120" s="8">
        <f>LN(D120)</f>
        <v>11.431726255472853</v>
      </c>
    </row>
    <row r="121" spans="1:12" x14ac:dyDescent="0.3">
      <c r="A121">
        <v>1738830</v>
      </c>
      <c r="B121" t="s">
        <v>129</v>
      </c>
      <c r="C121">
        <v>12324</v>
      </c>
      <c r="D121">
        <v>57170</v>
      </c>
      <c r="E121">
        <v>66278284</v>
      </c>
      <c r="F121">
        <v>217385463</v>
      </c>
      <c r="G121" s="9">
        <v>0</v>
      </c>
      <c r="H121" s="18">
        <f>E121+F121</f>
        <v>283663747</v>
      </c>
      <c r="I121" s="4">
        <f>H121/C121</f>
        <v>23017.181678026616</v>
      </c>
      <c r="J121" s="8">
        <f>LN(I121)</f>
        <v>10.043996245503067</v>
      </c>
      <c r="K121" s="8">
        <f>LN(C121)</f>
        <v>9.4193038597165586</v>
      </c>
      <c r="L121" s="8">
        <f>LN(D121)</f>
        <v>10.953784564258017</v>
      </c>
    </row>
    <row r="122" spans="1:12" x14ac:dyDescent="0.3">
      <c r="A122">
        <v>1738895</v>
      </c>
      <c r="B122" t="s">
        <v>130</v>
      </c>
      <c r="C122">
        <v>523</v>
      </c>
      <c r="D122">
        <v>86875</v>
      </c>
      <c r="E122">
        <v>2486566</v>
      </c>
      <c r="F122">
        <v>13911245</v>
      </c>
      <c r="G122" s="9">
        <v>0</v>
      </c>
      <c r="H122" s="18">
        <f>E122+F122</f>
        <v>16397811</v>
      </c>
      <c r="I122" s="4">
        <f>H122/C122</f>
        <v>31353.367112810709</v>
      </c>
      <c r="J122" s="8">
        <f>LN(I122)</f>
        <v>10.353076944211086</v>
      </c>
      <c r="K122" s="8">
        <f>LN(C122)</f>
        <v>6.2595814640649232</v>
      </c>
      <c r="L122" s="8">
        <f>LN(D122)</f>
        <v>11.372225582867094</v>
      </c>
    </row>
    <row r="123" spans="1:12" x14ac:dyDescent="0.3">
      <c r="A123">
        <v>1739519</v>
      </c>
      <c r="B123" t="s">
        <v>131</v>
      </c>
      <c r="C123">
        <v>2503</v>
      </c>
      <c r="D123">
        <v>250001</v>
      </c>
      <c r="E123">
        <v>22109994</v>
      </c>
      <c r="F123">
        <v>390281892</v>
      </c>
      <c r="G123" s="9">
        <v>0</v>
      </c>
      <c r="H123" s="18">
        <f>E123+F123</f>
        <v>412391886</v>
      </c>
      <c r="I123" s="4">
        <f>H123/C123</f>
        <v>164759.04354774271</v>
      </c>
      <c r="J123" s="8">
        <f>LN(I123)</f>
        <v>12.012239343409004</v>
      </c>
      <c r="K123" s="8">
        <f>LN(C123)</f>
        <v>7.8252452914317745</v>
      </c>
      <c r="L123" s="8">
        <f>LN(D123)</f>
        <v>12.429220196836383</v>
      </c>
    </row>
    <row r="124" spans="1:12" x14ac:dyDescent="0.3">
      <c r="A124">
        <v>1739883</v>
      </c>
      <c r="B124" t="s">
        <v>132</v>
      </c>
      <c r="C124">
        <v>4292</v>
      </c>
      <c r="D124">
        <v>250001</v>
      </c>
      <c r="E124">
        <v>178481814</v>
      </c>
      <c r="F124">
        <v>381737249</v>
      </c>
      <c r="G124" s="9">
        <v>0</v>
      </c>
      <c r="H124" s="18">
        <f>E124+F124</f>
        <v>560219063</v>
      </c>
      <c r="I124" s="4">
        <f>H124/C124</f>
        <v>130526.34273066169</v>
      </c>
      <c r="J124" s="8">
        <f>LN(I124)</f>
        <v>11.779330345378966</v>
      </c>
      <c r="K124" s="8">
        <f>LN(C124)</f>
        <v>8.3645081037505893</v>
      </c>
      <c r="L124" s="8">
        <f>LN(D124)</f>
        <v>12.429220196836383</v>
      </c>
    </row>
    <row r="125" spans="1:12" x14ac:dyDescent="0.3">
      <c r="A125">
        <v>1740767</v>
      </c>
      <c r="B125" t="s">
        <v>133</v>
      </c>
      <c r="C125">
        <v>15998</v>
      </c>
      <c r="D125">
        <v>159929</v>
      </c>
      <c r="E125">
        <v>236540525</v>
      </c>
      <c r="F125">
        <v>982395646</v>
      </c>
      <c r="G125" s="9">
        <v>0</v>
      </c>
      <c r="H125" s="18">
        <f>E125+F125</f>
        <v>1218936171</v>
      </c>
      <c r="I125" s="4">
        <f>H125/C125</f>
        <v>76193.034816852101</v>
      </c>
      <c r="J125" s="8">
        <f>LN(I125)</f>
        <v>11.241025330893908</v>
      </c>
      <c r="K125" s="8">
        <f>LN(C125)</f>
        <v>9.6802189934087668</v>
      </c>
      <c r="L125" s="8">
        <f>LN(D125)</f>
        <v>11.982485245729796</v>
      </c>
    </row>
    <row r="126" spans="1:12" x14ac:dyDescent="0.3">
      <c r="A126">
        <v>1740793</v>
      </c>
      <c r="B126" t="s">
        <v>134</v>
      </c>
      <c r="C126">
        <v>13447</v>
      </c>
      <c r="D126">
        <v>120408</v>
      </c>
      <c r="E126">
        <v>129040670</v>
      </c>
      <c r="F126">
        <v>522617581</v>
      </c>
      <c r="G126" s="9">
        <v>0.33365491651205936</v>
      </c>
      <c r="H126" s="18">
        <f>E126+F126</f>
        <v>651658251</v>
      </c>
      <c r="I126" s="4">
        <f>H126/C126</f>
        <v>48461.236781438238</v>
      </c>
      <c r="J126" s="8">
        <f>LN(I126)</f>
        <v>10.788519515741877</v>
      </c>
      <c r="K126" s="8">
        <f>LN(C126)</f>
        <v>9.5065113118238695</v>
      </c>
      <c r="L126" s="8">
        <f>LN(D126)</f>
        <v>11.698641254832198</v>
      </c>
    </row>
    <row r="127" spans="1:12" x14ac:dyDescent="0.3">
      <c r="A127">
        <v>1740884</v>
      </c>
      <c r="B127" t="s">
        <v>135</v>
      </c>
      <c r="C127">
        <v>5442</v>
      </c>
      <c r="D127">
        <v>141958</v>
      </c>
      <c r="E127">
        <v>58823632</v>
      </c>
      <c r="F127">
        <v>367400960</v>
      </c>
      <c r="G127" s="9">
        <v>0</v>
      </c>
      <c r="H127" s="18">
        <f>E127+F127</f>
        <v>426224592</v>
      </c>
      <c r="I127" s="4">
        <f>H127/C127</f>
        <v>78321.314222712244</v>
      </c>
      <c r="J127" s="8">
        <f>LN(I127)</f>
        <v>11.268575057231025</v>
      </c>
      <c r="K127" s="8">
        <f>LN(C127)</f>
        <v>8.6019019193431916</v>
      </c>
      <c r="L127" s="8">
        <f>LN(D127)</f>
        <v>11.863286518185562</v>
      </c>
    </row>
    <row r="128" spans="1:12" x14ac:dyDescent="0.3">
      <c r="A128">
        <v>1740910</v>
      </c>
      <c r="B128" t="s">
        <v>136</v>
      </c>
      <c r="C128">
        <v>6041</v>
      </c>
      <c r="D128">
        <v>204000</v>
      </c>
      <c r="E128">
        <v>416101285</v>
      </c>
      <c r="F128">
        <v>613873305</v>
      </c>
      <c r="G128" s="9">
        <v>0</v>
      </c>
      <c r="H128" s="18">
        <f>E128+F128</f>
        <v>1029974590</v>
      </c>
      <c r="I128" s="4">
        <f>H128/C128</f>
        <v>170497.36633007781</v>
      </c>
      <c r="J128" s="8">
        <f>LN(I128)</f>
        <v>12.046475128841994</v>
      </c>
      <c r="K128" s="8">
        <f>LN(C128)</f>
        <v>8.7063248401387412</v>
      </c>
      <c r="L128" s="8">
        <f>LN(D128)</f>
        <v>12.225875272826354</v>
      </c>
    </row>
    <row r="129" spans="1:12" x14ac:dyDescent="0.3">
      <c r="A129">
        <v>1741105</v>
      </c>
      <c r="B129" t="s">
        <v>137</v>
      </c>
      <c r="C129">
        <v>19416</v>
      </c>
      <c r="D129">
        <v>235081</v>
      </c>
      <c r="E129">
        <v>332118230</v>
      </c>
      <c r="F129">
        <v>2538383223</v>
      </c>
      <c r="G129" s="9">
        <v>0</v>
      </c>
      <c r="H129" s="18">
        <f>E129+F129</f>
        <v>2870501453</v>
      </c>
      <c r="I129" s="4">
        <f>H129/C129</f>
        <v>147842.06082612279</v>
      </c>
      <c r="J129" s="8">
        <f>LN(I129)</f>
        <v>11.903899826348992</v>
      </c>
      <c r="K129" s="8">
        <f>LN(C129)</f>
        <v>9.8738527474064366</v>
      </c>
      <c r="L129" s="8">
        <f>LN(D129)</f>
        <v>12.367685414588562</v>
      </c>
    </row>
    <row r="130" spans="1:12" x14ac:dyDescent="0.3">
      <c r="A130">
        <v>1741183</v>
      </c>
      <c r="B130" t="s">
        <v>138</v>
      </c>
      <c r="C130">
        <v>28800</v>
      </c>
      <c r="D130">
        <v>117151</v>
      </c>
      <c r="E130">
        <v>462560052</v>
      </c>
      <c r="F130">
        <v>925470968</v>
      </c>
      <c r="G130" s="9">
        <v>0</v>
      </c>
      <c r="H130" s="18">
        <f>E130+F130</f>
        <v>1388031020</v>
      </c>
      <c r="I130" s="4">
        <f>H130/C130</f>
        <v>48195.521527777775</v>
      </c>
      <c r="J130" s="8">
        <f>LN(I130)</f>
        <v>10.783021381360427</v>
      </c>
      <c r="K130" s="8">
        <f>LN(C130)</f>
        <v>10.268130666124037</v>
      </c>
      <c r="L130" s="8">
        <f>LN(D130)</f>
        <v>11.671218979964383</v>
      </c>
    </row>
    <row r="131" spans="1:12" x14ac:dyDescent="0.3">
      <c r="A131">
        <v>1741586</v>
      </c>
      <c r="B131" t="s">
        <v>139</v>
      </c>
      <c r="C131">
        <v>8683</v>
      </c>
      <c r="D131">
        <v>118750</v>
      </c>
      <c r="E131">
        <v>119829470</v>
      </c>
      <c r="F131">
        <v>263615421</v>
      </c>
      <c r="G131" s="9">
        <v>0</v>
      </c>
      <c r="H131" s="18">
        <f>E131+F131</f>
        <v>383444891</v>
      </c>
      <c r="I131" s="4">
        <f>H131/C131</f>
        <v>44160.415870090983</v>
      </c>
      <c r="J131" s="8">
        <f>LN(I131)</f>
        <v>10.695584098254709</v>
      </c>
      <c r="K131" s="8">
        <f>LN(C131)</f>
        <v>9.0691223700606454</v>
      </c>
      <c r="L131" s="8">
        <f>LN(D131)</f>
        <v>11.684775721896887</v>
      </c>
    </row>
    <row r="132" spans="1:12" x14ac:dyDescent="0.3">
      <c r="A132">
        <v>1741742</v>
      </c>
      <c r="B132" t="s">
        <v>140</v>
      </c>
      <c r="C132">
        <v>19832</v>
      </c>
      <c r="D132">
        <v>135968</v>
      </c>
      <c r="E132">
        <v>874719968</v>
      </c>
      <c r="F132">
        <v>994291800</v>
      </c>
      <c r="G132" s="9">
        <v>0</v>
      </c>
      <c r="H132" s="18">
        <f>E132+F132</f>
        <v>1869011768</v>
      </c>
      <c r="I132" s="4">
        <f>H132/C132</f>
        <v>94242.223073820089</v>
      </c>
      <c r="J132" s="8">
        <f>LN(I132)</f>
        <v>11.453623588100184</v>
      </c>
      <c r="K132" s="8">
        <f>LN(C132)</f>
        <v>9.8950520737150267</v>
      </c>
      <c r="L132" s="8">
        <f>LN(D132)</f>
        <v>11.820174842914538</v>
      </c>
    </row>
    <row r="133" spans="1:12" x14ac:dyDescent="0.3">
      <c r="A133">
        <v>1741326</v>
      </c>
      <c r="B133" t="s">
        <v>141</v>
      </c>
      <c r="C133">
        <v>6467</v>
      </c>
      <c r="D133">
        <v>100414</v>
      </c>
      <c r="E133">
        <v>241316089</v>
      </c>
      <c r="F133">
        <v>191085002</v>
      </c>
      <c r="G133" s="9">
        <v>0</v>
      </c>
      <c r="H133" s="18">
        <f>E133+F133</f>
        <v>432401091</v>
      </c>
      <c r="I133" s="4">
        <f>H133/C133</f>
        <v>66862.70156177516</v>
      </c>
      <c r="J133" s="8">
        <f>LN(I133)</f>
        <v>11.110396565406285</v>
      </c>
      <c r="K133" s="8">
        <f>LN(C133)</f>
        <v>8.7744676014465934</v>
      </c>
      <c r="L133" s="8">
        <f>LN(D133)</f>
        <v>11.517056918749677</v>
      </c>
    </row>
    <row r="134" spans="1:12" x14ac:dyDescent="0.3">
      <c r="A134">
        <v>1741651</v>
      </c>
      <c r="B134" t="s">
        <v>142</v>
      </c>
      <c r="C134">
        <v>4707</v>
      </c>
      <c r="D134">
        <v>173625</v>
      </c>
      <c r="E134">
        <v>20892987</v>
      </c>
      <c r="F134">
        <v>224630384</v>
      </c>
      <c r="G134" s="9">
        <v>0</v>
      </c>
      <c r="H134" s="18">
        <f>E134+F134</f>
        <v>245523371</v>
      </c>
      <c r="I134" s="4">
        <f>H134/C134</f>
        <v>52161.328022094749</v>
      </c>
      <c r="J134" s="8">
        <f>LN(I134)</f>
        <v>10.862096656822715</v>
      </c>
      <c r="K134" s="8">
        <f>LN(C134)</f>
        <v>8.4568060414011423</v>
      </c>
      <c r="L134" s="8">
        <f>LN(D134)</f>
        <v>12.064653080056646</v>
      </c>
    </row>
    <row r="135" spans="1:12" x14ac:dyDescent="0.3">
      <c r="A135">
        <v>1742028</v>
      </c>
      <c r="B135" t="s">
        <v>143</v>
      </c>
      <c r="C135">
        <v>28284</v>
      </c>
      <c r="D135">
        <v>75569</v>
      </c>
      <c r="E135">
        <v>648915896</v>
      </c>
      <c r="F135">
        <v>523192427</v>
      </c>
      <c r="G135" s="9">
        <v>0.15242811941119824</v>
      </c>
      <c r="H135" s="18">
        <f>E135+F135</f>
        <v>1172108323</v>
      </c>
      <c r="I135" s="4">
        <f>H135/C135</f>
        <v>41440.684591995472</v>
      </c>
      <c r="J135" s="8">
        <f>LN(I135)</f>
        <v>10.63201839687402</v>
      </c>
      <c r="K135" s="8">
        <f>LN(C135)</f>
        <v>10.250051552724132</v>
      </c>
      <c r="L135" s="8">
        <f>LN(D135)</f>
        <v>11.232801425162886</v>
      </c>
    </row>
    <row r="136" spans="1:12" x14ac:dyDescent="0.3">
      <c r="A136">
        <v>1742795</v>
      </c>
      <c r="B136" t="s">
        <v>144</v>
      </c>
      <c r="C136">
        <v>17820</v>
      </c>
      <c r="D136">
        <v>123370</v>
      </c>
      <c r="E136">
        <v>380697485</v>
      </c>
      <c r="F136">
        <v>976934316</v>
      </c>
      <c r="G136" s="9">
        <v>0</v>
      </c>
      <c r="H136" s="18">
        <f>E136+F136</f>
        <v>1357631801</v>
      </c>
      <c r="I136" s="4">
        <f>H136/C136</f>
        <v>76185.847418630758</v>
      </c>
      <c r="J136" s="8">
        <f>LN(I136)</f>
        <v>11.240930995010599</v>
      </c>
      <c r="K136" s="8">
        <f>LN(C136)</f>
        <v>9.7880767010248011</v>
      </c>
      <c r="L136" s="8">
        <f>LN(D136)</f>
        <v>11.72294324906551</v>
      </c>
    </row>
    <row r="137" spans="1:12" x14ac:dyDescent="0.3">
      <c r="A137">
        <v>1743250</v>
      </c>
      <c r="B137" t="s">
        <v>145</v>
      </c>
      <c r="C137">
        <v>20525</v>
      </c>
      <c r="D137">
        <v>165667</v>
      </c>
      <c r="E137">
        <v>1198150260</v>
      </c>
      <c r="F137">
        <v>1431089190</v>
      </c>
      <c r="G137" s="9">
        <v>0</v>
      </c>
      <c r="H137" s="18">
        <f>E137+F137</f>
        <v>2629239450</v>
      </c>
      <c r="I137" s="4">
        <f>H137/C137</f>
        <v>128099.36419001219</v>
      </c>
      <c r="J137" s="8">
        <f>LN(I137)</f>
        <v>11.760561524484626</v>
      </c>
      <c r="K137" s="8">
        <f>LN(C137)</f>
        <v>9.9293989343206288</v>
      </c>
      <c r="L137" s="8">
        <f>LN(D137)</f>
        <v>12.017735028481066</v>
      </c>
    </row>
    <row r="138" spans="1:12" x14ac:dyDescent="0.3">
      <c r="A138">
        <v>1743406</v>
      </c>
      <c r="B138" t="s">
        <v>146</v>
      </c>
      <c r="C138">
        <v>1293</v>
      </c>
      <c r="D138">
        <v>140313</v>
      </c>
      <c r="E138">
        <v>10452746</v>
      </c>
      <c r="F138">
        <v>49723361</v>
      </c>
      <c r="G138" s="9">
        <v>0</v>
      </c>
      <c r="H138" s="18">
        <f>E138+F138</f>
        <v>60176107</v>
      </c>
      <c r="I138" s="4">
        <f>H138/C138</f>
        <v>46539.912606341837</v>
      </c>
      <c r="J138" s="8">
        <f>LN(I138)</f>
        <v>10.748065559036338</v>
      </c>
      <c r="K138" s="8">
        <f>LN(C138)</f>
        <v>7.1647203787718574</v>
      </c>
      <c r="L138" s="8">
        <f>LN(D138)</f>
        <v>11.851630920386748</v>
      </c>
    </row>
    <row r="139" spans="1:12" x14ac:dyDescent="0.3">
      <c r="A139">
        <v>1743666</v>
      </c>
      <c r="B139" t="s">
        <v>147</v>
      </c>
      <c r="C139">
        <v>7980</v>
      </c>
      <c r="D139">
        <v>185580</v>
      </c>
      <c r="E139">
        <v>233189301</v>
      </c>
      <c r="F139">
        <v>694698152</v>
      </c>
      <c r="G139" s="9">
        <v>0</v>
      </c>
      <c r="H139" s="18">
        <f>E139+F139</f>
        <v>927887453</v>
      </c>
      <c r="I139" s="4">
        <f>H139/C139</f>
        <v>116276.6231829574</v>
      </c>
      <c r="J139" s="8">
        <f>LN(I139)</f>
        <v>11.663727313856889</v>
      </c>
      <c r="K139" s="8">
        <f>LN(C139)</f>
        <v>8.984693690443855</v>
      </c>
      <c r="L139" s="8">
        <f>LN(D139)</f>
        <v>12.13124133490717</v>
      </c>
    </row>
    <row r="140" spans="1:12" x14ac:dyDescent="0.3">
      <c r="A140">
        <v>1743744</v>
      </c>
      <c r="B140" t="s">
        <v>148</v>
      </c>
      <c r="C140">
        <v>13112</v>
      </c>
      <c r="D140">
        <v>109731</v>
      </c>
      <c r="E140">
        <v>625687212</v>
      </c>
      <c r="F140">
        <v>826489866</v>
      </c>
      <c r="G140" s="9">
        <v>0</v>
      </c>
      <c r="H140" s="18">
        <f>E140+F140</f>
        <v>1452177078</v>
      </c>
      <c r="I140" s="4">
        <f>H140/C140</f>
        <v>110751.7600671141</v>
      </c>
      <c r="J140" s="8">
        <f>LN(I140)</f>
        <v>11.615046580034953</v>
      </c>
      <c r="K140" s="8">
        <f>LN(C140)</f>
        <v>9.4812831204236652</v>
      </c>
      <c r="L140" s="8">
        <f>LN(D140)</f>
        <v>11.605787195221366</v>
      </c>
    </row>
    <row r="141" spans="1:12" x14ac:dyDescent="0.3">
      <c r="A141">
        <v>1743770</v>
      </c>
      <c r="B141" t="s">
        <v>149</v>
      </c>
      <c r="C141">
        <v>14417</v>
      </c>
      <c r="D141">
        <v>131474</v>
      </c>
      <c r="E141">
        <v>141703071</v>
      </c>
      <c r="F141">
        <v>415197457</v>
      </c>
      <c r="G141" s="9">
        <v>0</v>
      </c>
      <c r="H141" s="18">
        <f>E141+F141</f>
        <v>556900528</v>
      </c>
      <c r="I141" s="4">
        <f>H141/C141</f>
        <v>38628.045224387875</v>
      </c>
      <c r="J141" s="8">
        <f>LN(I141)</f>
        <v>10.561733851853129</v>
      </c>
      <c r="K141" s="8">
        <f>LN(C141)</f>
        <v>9.5761633448119046</v>
      </c>
      <c r="L141" s="8">
        <f>LN(D141)</f>
        <v>11.786564392419873</v>
      </c>
    </row>
    <row r="142" spans="1:12" x14ac:dyDescent="0.3">
      <c r="A142">
        <v>1743900</v>
      </c>
      <c r="B142" t="s">
        <v>150</v>
      </c>
      <c r="C142">
        <v>373</v>
      </c>
      <c r="D142">
        <v>99375</v>
      </c>
      <c r="E142">
        <v>531578</v>
      </c>
      <c r="F142">
        <v>7483189</v>
      </c>
      <c r="G142" s="9">
        <v>0</v>
      </c>
      <c r="H142" s="18">
        <f>E142+F142</f>
        <v>8014767</v>
      </c>
      <c r="I142" s="4">
        <f>H142/C142</f>
        <v>21487.310991957103</v>
      </c>
      <c r="J142" s="8">
        <f>LN(I142)</f>
        <v>9.9752178534665941</v>
      </c>
      <c r="K142" s="8">
        <f>LN(C142)</f>
        <v>5.9215784196438159</v>
      </c>
      <c r="L142" s="8">
        <f>LN(D142)</f>
        <v>11.506655851956634</v>
      </c>
    </row>
    <row r="143" spans="1:12" x14ac:dyDescent="0.3">
      <c r="A143">
        <v>1743939</v>
      </c>
      <c r="B143" t="s">
        <v>151</v>
      </c>
      <c r="C143">
        <v>23407</v>
      </c>
      <c r="D143">
        <v>107479</v>
      </c>
      <c r="E143">
        <v>836633114</v>
      </c>
      <c r="F143">
        <v>1205262624</v>
      </c>
      <c r="G143" s="9">
        <v>0</v>
      </c>
      <c r="H143" s="18">
        <f>E143+F143</f>
        <v>2041895738</v>
      </c>
      <c r="I143" s="4">
        <f>H143/C143</f>
        <v>87234.405861494422</v>
      </c>
      <c r="J143" s="8">
        <f>LN(I143)</f>
        <v>11.376354094709521</v>
      </c>
      <c r="K143" s="8">
        <f>LN(C143)</f>
        <v>10.060790401909905</v>
      </c>
      <c r="L143" s="8">
        <f>LN(D143)</f>
        <v>11.585050758629576</v>
      </c>
    </row>
    <row r="144" spans="1:12" x14ac:dyDescent="0.3">
      <c r="A144">
        <v>1744225</v>
      </c>
      <c r="B144" t="s">
        <v>152</v>
      </c>
      <c r="C144">
        <v>26409</v>
      </c>
      <c r="D144">
        <v>111981</v>
      </c>
      <c r="E144">
        <v>475617300</v>
      </c>
      <c r="F144">
        <v>1020180913</v>
      </c>
      <c r="G144" s="9">
        <v>0</v>
      </c>
      <c r="H144" s="18">
        <f>E144+F144</f>
        <v>1495798213</v>
      </c>
      <c r="I144" s="4">
        <f>H144/C144</f>
        <v>56639.714226210759</v>
      </c>
      <c r="J144" s="8">
        <f>LN(I144)</f>
        <v>10.944465682913679</v>
      </c>
      <c r="K144" s="8">
        <f>LN(C144)</f>
        <v>10.181460140129015</v>
      </c>
      <c r="L144" s="8">
        <f>LN(D144)</f>
        <v>11.626084493029111</v>
      </c>
    </row>
    <row r="145" spans="1:12" x14ac:dyDescent="0.3">
      <c r="A145">
        <v>1744407</v>
      </c>
      <c r="B145" t="s">
        <v>153</v>
      </c>
      <c r="C145">
        <v>43619</v>
      </c>
      <c r="D145">
        <v>100362</v>
      </c>
      <c r="E145">
        <v>1348711318</v>
      </c>
      <c r="F145">
        <v>1881677101</v>
      </c>
      <c r="G145" s="9">
        <v>0.28480528824534579</v>
      </c>
      <c r="H145" s="18">
        <f>E145+F145</f>
        <v>3230388419</v>
      </c>
      <c r="I145" s="4">
        <f>H145/C145</f>
        <v>74059.203993672476</v>
      </c>
      <c r="J145" s="8">
        <f>LN(I145)</f>
        <v>11.212620106282277</v>
      </c>
      <c r="K145" s="8">
        <f>LN(C145)</f>
        <v>10.683248114229192</v>
      </c>
      <c r="L145" s="8">
        <f>LN(D145)</f>
        <v>11.516538928540063</v>
      </c>
    </row>
    <row r="146" spans="1:12" x14ac:dyDescent="0.3">
      <c r="A146">
        <v>1744524</v>
      </c>
      <c r="B146" t="s">
        <v>154</v>
      </c>
      <c r="C146">
        <v>8305</v>
      </c>
      <c r="D146">
        <v>250001</v>
      </c>
      <c r="E146">
        <v>145987009</v>
      </c>
      <c r="F146">
        <v>624089609</v>
      </c>
      <c r="G146" s="9">
        <v>0</v>
      </c>
      <c r="H146" s="18">
        <f>E146+F146</f>
        <v>770076618</v>
      </c>
      <c r="I146" s="4">
        <f>H146/C146</f>
        <v>92724.457314870553</v>
      </c>
      <c r="J146" s="8">
        <f>LN(I146)</f>
        <v>11.437387549710527</v>
      </c>
      <c r="K146" s="8">
        <f>LN(C146)</f>
        <v>9.0246130220473955</v>
      </c>
      <c r="L146" s="8">
        <f>LN(D146)</f>
        <v>12.429220196836383</v>
      </c>
    </row>
    <row r="147" spans="1:12" x14ac:dyDescent="0.3">
      <c r="A147">
        <v>1745421</v>
      </c>
      <c r="B147" t="s">
        <v>155</v>
      </c>
      <c r="C147">
        <v>9083</v>
      </c>
      <c r="D147">
        <v>85237</v>
      </c>
      <c r="E147">
        <v>53832054</v>
      </c>
      <c r="F147">
        <v>214273069</v>
      </c>
      <c r="G147" s="9">
        <v>3.0057042562527423E-2</v>
      </c>
      <c r="H147" s="18">
        <f>E147+F147</f>
        <v>268105123</v>
      </c>
      <c r="I147" s="4">
        <f>H147/C147</f>
        <v>29517.243531872729</v>
      </c>
      <c r="J147" s="8">
        <f>LN(I147)</f>
        <v>10.292729898062998</v>
      </c>
      <c r="K147" s="8">
        <f>LN(C147)</f>
        <v>9.1141598135022139</v>
      </c>
      <c r="L147" s="8">
        <f>LN(D147)</f>
        <v>11.353190890848952</v>
      </c>
    </row>
    <row r="148" spans="1:12" x14ac:dyDescent="0.3">
      <c r="A148">
        <v>1745434</v>
      </c>
      <c r="B148" t="s">
        <v>156</v>
      </c>
      <c r="C148">
        <v>10339</v>
      </c>
      <c r="D148">
        <v>70993</v>
      </c>
      <c r="E148">
        <v>170875427</v>
      </c>
      <c r="F148">
        <v>248897323</v>
      </c>
      <c r="G148" s="9">
        <v>0</v>
      </c>
      <c r="H148" s="18">
        <f>E148+F148</f>
        <v>419772750</v>
      </c>
      <c r="I148" s="4">
        <f>H148/C148</f>
        <v>40600.904342779766</v>
      </c>
      <c r="J148" s="8">
        <f>LN(I148)</f>
        <v>10.611545619794455</v>
      </c>
      <c r="K148" s="8">
        <f>LN(C148)</f>
        <v>9.2436784315866927</v>
      </c>
      <c r="L148" s="8">
        <f>LN(D148)</f>
        <v>11.170336559613691</v>
      </c>
    </row>
    <row r="149" spans="1:12" x14ac:dyDescent="0.3">
      <c r="A149">
        <v>1746357</v>
      </c>
      <c r="B149" t="s">
        <v>157</v>
      </c>
      <c r="C149">
        <v>11026</v>
      </c>
      <c r="D149">
        <v>128522</v>
      </c>
      <c r="E149">
        <v>70679256</v>
      </c>
      <c r="F149">
        <v>347540134</v>
      </c>
      <c r="G149" s="9">
        <v>0</v>
      </c>
      <c r="H149" s="18">
        <f>E149+F149</f>
        <v>418219390</v>
      </c>
      <c r="I149" s="4">
        <f>H149/C149</f>
        <v>37930.291130056234</v>
      </c>
      <c r="J149" s="8">
        <f>LN(I149)</f>
        <v>10.543505310109756</v>
      </c>
      <c r="K149" s="8">
        <f>LN(C149)</f>
        <v>9.3080113991496294</v>
      </c>
      <c r="L149" s="8">
        <f>LN(D149)</f>
        <v>11.76385537488898</v>
      </c>
    </row>
    <row r="150" spans="1:12" x14ac:dyDescent="0.3">
      <c r="A150">
        <v>1746604</v>
      </c>
      <c r="B150" t="s">
        <v>158</v>
      </c>
      <c r="C150">
        <v>1573</v>
      </c>
      <c r="D150">
        <v>107045</v>
      </c>
      <c r="E150">
        <v>16967728</v>
      </c>
      <c r="F150">
        <v>38991774</v>
      </c>
      <c r="G150" s="9">
        <v>0</v>
      </c>
      <c r="H150" s="18">
        <f>E150+F150</f>
        <v>55959502</v>
      </c>
      <c r="I150" s="4">
        <f>H150/C150</f>
        <v>35575.017164653531</v>
      </c>
      <c r="J150" s="8">
        <f>LN(I150)</f>
        <v>10.479398905449955</v>
      </c>
      <c r="K150" s="8">
        <f>LN(C150)</f>
        <v>7.3607399030582776</v>
      </c>
      <c r="L150" s="8">
        <f>LN(D150)</f>
        <v>11.581004585780823</v>
      </c>
    </row>
    <row r="151" spans="1:12" x14ac:dyDescent="0.3">
      <c r="A151">
        <v>1746786</v>
      </c>
      <c r="B151" t="s">
        <v>159</v>
      </c>
      <c r="C151">
        <v>7040</v>
      </c>
      <c r="D151">
        <v>73523</v>
      </c>
      <c r="E151">
        <v>99009552</v>
      </c>
      <c r="F151">
        <v>180656193</v>
      </c>
      <c r="G151" s="9">
        <v>0</v>
      </c>
      <c r="H151" s="18">
        <f>E151+F151</f>
        <v>279665745</v>
      </c>
      <c r="I151" s="4">
        <f>H151/C151</f>
        <v>39725.247869318184</v>
      </c>
      <c r="J151" s="8">
        <f>LN(I151)</f>
        <v>10.589742231015864</v>
      </c>
      <c r="K151" s="8">
        <f>LN(C151)</f>
        <v>8.8593634491520881</v>
      </c>
      <c r="L151" s="8">
        <f>LN(D151)</f>
        <v>11.205353561420127</v>
      </c>
    </row>
    <row r="152" spans="1:12" x14ac:dyDescent="0.3">
      <c r="A152">
        <v>1747007</v>
      </c>
      <c r="B152" t="s">
        <v>160</v>
      </c>
      <c r="C152">
        <v>11355</v>
      </c>
      <c r="D152">
        <v>57302</v>
      </c>
      <c r="E152">
        <v>355568003</v>
      </c>
      <c r="F152">
        <v>180335648</v>
      </c>
      <c r="G152" s="9">
        <v>2.6412829088414372E-2</v>
      </c>
      <c r="H152" s="18">
        <f>E152+F152</f>
        <v>535903651</v>
      </c>
      <c r="I152" s="4">
        <f>H152/C152</f>
        <v>47195.389784236017</v>
      </c>
      <c r="J152" s="8">
        <f>LN(I152)</f>
        <v>10.762051492740429</v>
      </c>
      <c r="K152" s="8">
        <f>LN(C152)</f>
        <v>9.337413454539659</v>
      </c>
      <c r="L152" s="8">
        <f>LN(D152)</f>
        <v>10.956090806107662</v>
      </c>
    </row>
    <row r="153" spans="1:12" x14ac:dyDescent="0.3">
      <c r="A153">
        <v>1747540</v>
      </c>
      <c r="B153" t="s">
        <v>161</v>
      </c>
      <c r="C153">
        <v>18645</v>
      </c>
      <c r="D153">
        <v>95457</v>
      </c>
      <c r="E153">
        <v>1016818212</v>
      </c>
      <c r="F153">
        <v>656648639</v>
      </c>
      <c r="G153" s="9">
        <v>0.17081738583337702</v>
      </c>
      <c r="H153" s="18">
        <f>E153+F153</f>
        <v>1673466851</v>
      </c>
      <c r="I153" s="4">
        <f>H153/C153</f>
        <v>89754.188844194156</v>
      </c>
      <c r="J153" s="8">
        <f>LN(I153)</f>
        <v>11.404829977620114</v>
      </c>
      <c r="K153" s="8">
        <f>LN(C153)</f>
        <v>9.833333292612922</v>
      </c>
      <c r="L153" s="8">
        <f>LN(D153)</f>
        <v>11.466431163290443</v>
      </c>
    </row>
    <row r="154" spans="1:12" x14ac:dyDescent="0.3">
      <c r="A154">
        <v>1747774</v>
      </c>
      <c r="B154" t="s">
        <v>162</v>
      </c>
      <c r="C154">
        <v>23201</v>
      </c>
      <c r="D154">
        <v>68815</v>
      </c>
      <c r="E154">
        <v>131188674</v>
      </c>
      <c r="F154">
        <v>364439895</v>
      </c>
      <c r="G154" s="9">
        <v>1</v>
      </c>
      <c r="H154" s="18">
        <f>E154+F154</f>
        <v>495628569</v>
      </c>
      <c r="I154" s="4">
        <f>H154/C154</f>
        <v>21362.379595707083</v>
      </c>
      <c r="J154" s="8">
        <f>LN(I154)</f>
        <v>9.9693866911625371</v>
      </c>
      <c r="K154" s="8">
        <f>LN(C154)</f>
        <v>10.05195066017375</v>
      </c>
      <c r="L154" s="8">
        <f>LN(D154)</f>
        <v>11.139177023413632</v>
      </c>
    </row>
    <row r="155" spans="1:12" x14ac:dyDescent="0.3">
      <c r="A155">
        <v>1745564</v>
      </c>
      <c r="B155" t="s">
        <v>163</v>
      </c>
      <c r="C155">
        <v>268</v>
      </c>
      <c r="D155">
        <v>62375</v>
      </c>
      <c r="E155">
        <v>139942598</v>
      </c>
      <c r="F155">
        <v>158606460</v>
      </c>
      <c r="G155" s="9">
        <v>0</v>
      </c>
      <c r="H155" s="18">
        <f>E155+F155</f>
        <v>298549058</v>
      </c>
      <c r="I155" s="4">
        <f>H155/C155</f>
        <v>1113989.0223880596</v>
      </c>
      <c r="J155" s="8">
        <f>LN(I155)</f>
        <v>13.923457845191065</v>
      </c>
      <c r="K155" s="8">
        <f>LN(C155)</f>
        <v>5.5909869805108565</v>
      </c>
      <c r="L155" s="8">
        <f>LN(D155)</f>
        <v>11.04091983305382</v>
      </c>
    </row>
    <row r="156" spans="1:12" x14ac:dyDescent="0.3">
      <c r="A156">
        <v>1745616</v>
      </c>
      <c r="B156" t="s">
        <v>164</v>
      </c>
      <c r="C156">
        <v>1017</v>
      </c>
      <c r="D156">
        <v>72791</v>
      </c>
      <c r="E156">
        <v>4389940</v>
      </c>
      <c r="F156">
        <v>22099266</v>
      </c>
      <c r="G156" s="9">
        <v>0</v>
      </c>
      <c r="H156" s="18">
        <f>E156+F156</f>
        <v>26489206</v>
      </c>
      <c r="I156" s="4">
        <f>H156/C156</f>
        <v>26046.416912487708</v>
      </c>
      <c r="J156" s="8">
        <f>LN(I156)</f>
        <v>10.167635491175542</v>
      </c>
      <c r="K156" s="8">
        <f>LN(C156)</f>
        <v>6.9246123960485599</v>
      </c>
      <c r="L156" s="8">
        <f>LN(D156)</f>
        <v>11.19534760016878</v>
      </c>
    </row>
    <row r="157" spans="1:12" x14ac:dyDescent="0.3">
      <c r="A157">
        <v>1745694</v>
      </c>
      <c r="B157" t="s">
        <v>165</v>
      </c>
      <c r="C157">
        <v>28074</v>
      </c>
      <c r="D157">
        <v>86315</v>
      </c>
      <c r="E157">
        <v>885441936</v>
      </c>
      <c r="F157">
        <v>918922607</v>
      </c>
      <c r="G157" s="9">
        <v>0</v>
      </c>
      <c r="H157" s="18">
        <f>E157+F157</f>
        <v>1804364543</v>
      </c>
      <c r="I157" s="4">
        <f>H157/C157</f>
        <v>64271.729821186862</v>
      </c>
      <c r="J157" s="8">
        <f>LN(I157)</f>
        <v>11.070875152911906</v>
      </c>
      <c r="K157" s="8">
        <f>LN(C157)</f>
        <v>10.242599160094271</v>
      </c>
      <c r="L157" s="8">
        <f>LN(D157)</f>
        <v>11.36575867425065</v>
      </c>
    </row>
    <row r="158" spans="1:12" x14ac:dyDescent="0.3">
      <c r="A158">
        <v>1748242</v>
      </c>
      <c r="B158" t="s">
        <v>166</v>
      </c>
      <c r="C158">
        <v>24549</v>
      </c>
      <c r="D158">
        <v>66189</v>
      </c>
      <c r="E158">
        <v>1069771579</v>
      </c>
      <c r="F158">
        <v>927968751</v>
      </c>
      <c r="G158" s="9">
        <v>0.18809485400871109</v>
      </c>
      <c r="H158" s="18">
        <f>E158+F158</f>
        <v>1997740330</v>
      </c>
      <c r="I158" s="4">
        <f>H158/C158</f>
        <v>81377.666300052952</v>
      </c>
      <c r="J158" s="8">
        <f>LN(I158)</f>
        <v>11.306856144566138</v>
      </c>
      <c r="K158" s="8">
        <f>LN(C158)</f>
        <v>10.108426399195491</v>
      </c>
      <c r="L158" s="8">
        <f>LN(D158)</f>
        <v>11.100269564976481</v>
      </c>
    </row>
    <row r="159" spans="1:12" x14ac:dyDescent="0.3">
      <c r="A159">
        <v>1748554</v>
      </c>
      <c r="B159" t="s">
        <v>167</v>
      </c>
      <c r="C159">
        <v>2354</v>
      </c>
      <c r="D159">
        <v>56515</v>
      </c>
      <c r="E159">
        <v>86015625</v>
      </c>
      <c r="F159">
        <v>59411660</v>
      </c>
      <c r="G159" s="9">
        <v>0</v>
      </c>
      <c r="H159" s="18">
        <f>E159+F159</f>
        <v>145427285</v>
      </c>
      <c r="I159" s="4">
        <f>H159/C159</f>
        <v>61778.795666949874</v>
      </c>
      <c r="J159" s="8">
        <f>LN(I159)</f>
        <v>11.031315472384051</v>
      </c>
      <c r="K159" s="8">
        <f>LN(C159)</f>
        <v>7.7638712878202218</v>
      </c>
      <c r="L159" s="8">
        <f>LN(D159)</f>
        <v>10.942261368624832</v>
      </c>
    </row>
    <row r="160" spans="1:12" x14ac:dyDescent="0.3">
      <c r="A160">
        <v>1748671</v>
      </c>
      <c r="B160" t="s">
        <v>168</v>
      </c>
      <c r="C160">
        <v>663</v>
      </c>
      <c r="D160">
        <v>181333</v>
      </c>
      <c r="E160">
        <v>407559006</v>
      </c>
      <c r="F160">
        <v>148813737</v>
      </c>
      <c r="G160" s="9">
        <v>0</v>
      </c>
      <c r="H160" s="18">
        <f>E160+F160</f>
        <v>556372743</v>
      </c>
      <c r="I160" s="4">
        <f>H160/C160</f>
        <v>839174.57466063346</v>
      </c>
      <c r="J160" s="8">
        <f>LN(I160)</f>
        <v>13.640174038489711</v>
      </c>
      <c r="K160" s="8">
        <f>LN(C160)</f>
        <v>6.4967749901858625</v>
      </c>
      <c r="L160" s="8">
        <f>LN(D160)</f>
        <v>12.108090398932987</v>
      </c>
    </row>
    <row r="161" spans="1:12" x14ac:dyDescent="0.3">
      <c r="A161">
        <v>1748892</v>
      </c>
      <c r="B161" t="s">
        <v>169</v>
      </c>
      <c r="C161">
        <v>13948</v>
      </c>
      <c r="D161">
        <v>70000</v>
      </c>
      <c r="E161">
        <v>226274175</v>
      </c>
      <c r="F161">
        <v>266594418</v>
      </c>
      <c r="G161" s="9">
        <v>0.38066317626527052</v>
      </c>
      <c r="H161" s="18">
        <f>E161+F161</f>
        <v>492868593</v>
      </c>
      <c r="I161" s="4">
        <f>H161/C161</f>
        <v>35336.148049899624</v>
      </c>
      <c r="J161" s="8">
        <f>LN(I161)</f>
        <v>10.472661743042874</v>
      </c>
      <c r="K161" s="8">
        <f>LN(C161)</f>
        <v>9.5430914077955418</v>
      </c>
      <c r="L161" s="8">
        <f>LN(D161)</f>
        <v>11.156250521031495</v>
      </c>
    </row>
    <row r="162" spans="1:12" x14ac:dyDescent="0.3">
      <c r="A162">
        <v>1749100</v>
      </c>
      <c r="B162" t="s">
        <v>170</v>
      </c>
      <c r="C162">
        <v>243</v>
      </c>
      <c r="D162">
        <v>137560</v>
      </c>
      <c r="E162">
        <v>4128567</v>
      </c>
      <c r="F162">
        <v>12032324</v>
      </c>
      <c r="G162" s="9">
        <v>0</v>
      </c>
      <c r="H162" s="18">
        <f>E162+F162</f>
        <v>16160891</v>
      </c>
      <c r="I162" s="4">
        <f>H162/C162</f>
        <v>66505.724279835398</v>
      </c>
      <c r="J162" s="8">
        <f>LN(I162)</f>
        <v>11.105043302335348</v>
      </c>
      <c r="K162" s="8">
        <f>LN(C162)</f>
        <v>5.4930614433405482</v>
      </c>
      <c r="L162" s="8">
        <f>LN(D162)</f>
        <v>11.831815464546203</v>
      </c>
    </row>
    <row r="163" spans="1:12" x14ac:dyDescent="0.3">
      <c r="A163">
        <v>1749308</v>
      </c>
      <c r="B163" t="s">
        <v>171</v>
      </c>
      <c r="C163">
        <v>729</v>
      </c>
      <c r="D163">
        <v>81775</v>
      </c>
      <c r="E163">
        <v>2279553</v>
      </c>
      <c r="F163">
        <v>16135049</v>
      </c>
      <c r="G163" s="9">
        <v>0</v>
      </c>
      <c r="H163" s="18">
        <f>E163+F163</f>
        <v>18414602</v>
      </c>
      <c r="I163" s="4">
        <f>H163/C163</f>
        <v>25260.085048010973</v>
      </c>
      <c r="J163" s="8">
        <f>LN(I163)</f>
        <v>10.136980762803445</v>
      </c>
      <c r="K163" s="8">
        <f>LN(C163)</f>
        <v>6.5916737320086582</v>
      </c>
      <c r="L163" s="8">
        <f>LN(D163)</f>
        <v>11.311726852406585</v>
      </c>
    </row>
    <row r="164" spans="1:12" x14ac:dyDescent="0.3">
      <c r="A164">
        <v>1749607</v>
      </c>
      <c r="B164" t="s">
        <v>172</v>
      </c>
      <c r="C164">
        <v>12891</v>
      </c>
      <c r="D164">
        <v>115445</v>
      </c>
      <c r="E164">
        <v>421816257</v>
      </c>
      <c r="F164">
        <v>497491364</v>
      </c>
      <c r="G164" s="9">
        <v>0</v>
      </c>
      <c r="H164" s="18">
        <f>E164+F164</f>
        <v>919307621</v>
      </c>
      <c r="I164" s="4">
        <f>H164/C164</f>
        <v>71313.910557753465</v>
      </c>
      <c r="J164" s="8">
        <f>LN(I164)</f>
        <v>11.17484668635978</v>
      </c>
      <c r="K164" s="8">
        <f>LN(C164)</f>
        <v>9.4642846724431049</v>
      </c>
      <c r="L164" s="8">
        <f>LN(D164)</f>
        <v>11.656549505053103</v>
      </c>
    </row>
    <row r="165" spans="1:12" x14ac:dyDescent="0.3">
      <c r="A165">
        <v>1749854</v>
      </c>
      <c r="B165" t="s">
        <v>173</v>
      </c>
      <c r="C165">
        <v>20021</v>
      </c>
      <c r="D165">
        <v>123889</v>
      </c>
      <c r="E165">
        <v>897782893</v>
      </c>
      <c r="F165">
        <v>1002352644</v>
      </c>
      <c r="G165" s="9">
        <v>0</v>
      </c>
      <c r="H165" s="18">
        <f>E165+F165</f>
        <v>1900135537</v>
      </c>
      <c r="I165" s="4">
        <f>H165/C165</f>
        <v>94907.124369412122</v>
      </c>
      <c r="J165" s="8">
        <f>LN(I165)</f>
        <v>11.460654054166026</v>
      </c>
      <c r="K165" s="8">
        <f>LN(C165)</f>
        <v>9.9045370016716987</v>
      </c>
      <c r="L165" s="8">
        <f>LN(D165)</f>
        <v>11.727141282400721</v>
      </c>
    </row>
    <row r="166" spans="1:12" x14ac:dyDescent="0.3">
      <c r="A166">
        <v>1749945</v>
      </c>
      <c r="B166" t="s">
        <v>174</v>
      </c>
      <c r="C166">
        <v>5108</v>
      </c>
      <c r="D166">
        <v>91969</v>
      </c>
      <c r="E166">
        <v>402601961</v>
      </c>
      <c r="F166">
        <v>138514058</v>
      </c>
      <c r="G166" s="9">
        <v>0</v>
      </c>
      <c r="H166" s="18">
        <f>E166+F166</f>
        <v>541116019</v>
      </c>
      <c r="I166" s="4">
        <f>H166/C166</f>
        <v>105935.00763508222</v>
      </c>
      <c r="J166" s="8">
        <f>LN(I166)</f>
        <v>11.570581049531661</v>
      </c>
      <c r="K166" s="8">
        <f>LN(C166)</f>
        <v>8.5385632171524293</v>
      </c>
      <c r="L166" s="8">
        <f>LN(D166)</f>
        <v>11.429206842726833</v>
      </c>
    </row>
    <row r="167" spans="1:12" x14ac:dyDescent="0.3">
      <c r="A167">
        <v>1750218</v>
      </c>
      <c r="B167" t="s">
        <v>175</v>
      </c>
      <c r="C167">
        <v>21515</v>
      </c>
      <c r="D167">
        <v>103734</v>
      </c>
      <c r="E167">
        <v>697545108</v>
      </c>
      <c r="F167">
        <v>645150390</v>
      </c>
      <c r="G167" s="9">
        <v>0</v>
      </c>
      <c r="H167" s="18">
        <f>E167+F167</f>
        <v>1342695498</v>
      </c>
      <c r="I167" s="4">
        <f>H167/C167</f>
        <v>62407.413339530562</v>
      </c>
      <c r="J167" s="8">
        <f>LN(I167)</f>
        <v>11.041439350819058</v>
      </c>
      <c r="K167" s="8">
        <f>LN(C167)</f>
        <v>9.9765056452727006</v>
      </c>
      <c r="L167" s="8">
        <f>LN(D167)</f>
        <v>11.549585209332831</v>
      </c>
    </row>
    <row r="168" spans="1:12" x14ac:dyDescent="0.3">
      <c r="A168">
        <v>1750647</v>
      </c>
      <c r="B168" t="s">
        <v>176</v>
      </c>
      <c r="C168">
        <v>24619</v>
      </c>
      <c r="D168">
        <v>111116</v>
      </c>
      <c r="E168">
        <v>607824138</v>
      </c>
      <c r="F168">
        <v>1093883150</v>
      </c>
      <c r="G168" s="9">
        <v>0.29612206981064948</v>
      </c>
      <c r="H168" s="18">
        <f>E168+F168</f>
        <v>1701707288</v>
      </c>
      <c r="I168" s="4">
        <f>H168/C168</f>
        <v>69121.706324383602</v>
      </c>
      <c r="J168" s="8">
        <f>LN(I168)</f>
        <v>11.143624089579246</v>
      </c>
      <c r="K168" s="8">
        <f>LN(C168)</f>
        <v>10.111273781529295</v>
      </c>
      <c r="L168" s="8">
        <f>LN(D168)</f>
        <v>11.618329979660084</v>
      </c>
    </row>
    <row r="169" spans="1:12" x14ac:dyDescent="0.3">
      <c r="A169">
        <v>1751089</v>
      </c>
      <c r="B169" t="s">
        <v>177</v>
      </c>
      <c r="C169">
        <v>55472</v>
      </c>
      <c r="D169">
        <v>101720</v>
      </c>
      <c r="E169">
        <v>3774817887</v>
      </c>
      <c r="F169">
        <v>2207217374</v>
      </c>
      <c r="G169" s="9">
        <v>8.720889326672765E-2</v>
      </c>
      <c r="H169" s="18">
        <f>E169+F169</f>
        <v>5982035261</v>
      </c>
      <c r="I169" s="4">
        <f>H169/C169</f>
        <v>107838.82428973175</v>
      </c>
      <c r="J169" s="8">
        <f>LN(I169)</f>
        <v>11.588393023728875</v>
      </c>
      <c r="K169" s="8">
        <f>LN(C169)</f>
        <v>10.923633667924804</v>
      </c>
      <c r="L169" s="8">
        <f>LN(D169)</f>
        <v>11.529979219536056</v>
      </c>
    </row>
    <row r="170" spans="1:12" x14ac:dyDescent="0.3">
      <c r="A170">
        <v>1751349</v>
      </c>
      <c r="B170" t="s">
        <v>178</v>
      </c>
      <c r="C170">
        <v>31915</v>
      </c>
      <c r="D170">
        <v>108340</v>
      </c>
      <c r="E170">
        <v>726518485</v>
      </c>
      <c r="F170">
        <v>1094312128</v>
      </c>
      <c r="G170" s="9">
        <v>0</v>
      </c>
      <c r="H170" s="18">
        <f>E170+F170</f>
        <v>1820830613</v>
      </c>
      <c r="I170" s="4">
        <f>H170/C170</f>
        <v>57052.50236565878</v>
      </c>
      <c r="J170" s="8">
        <f>LN(I170)</f>
        <v>10.95172721700416</v>
      </c>
      <c r="K170" s="8">
        <f>LN(C170)</f>
        <v>10.370831397690157</v>
      </c>
      <c r="L170" s="8">
        <f>LN(D170)</f>
        <v>11.593029709211891</v>
      </c>
    </row>
    <row r="171" spans="1:12" x14ac:dyDescent="0.3">
      <c r="A171">
        <v>1751622</v>
      </c>
      <c r="B171" t="s">
        <v>179</v>
      </c>
      <c r="C171">
        <v>150692</v>
      </c>
      <c r="D171">
        <v>155105</v>
      </c>
      <c r="E171">
        <v>4955831743</v>
      </c>
      <c r="F171">
        <v>8845723206</v>
      </c>
      <c r="G171" s="9">
        <v>0.11856359502474255</v>
      </c>
      <c r="H171" s="18">
        <f>E171+F171</f>
        <v>13801554949</v>
      </c>
      <c r="I171" s="4">
        <f>H171/C171</f>
        <v>91587.841086454486</v>
      </c>
      <c r="J171" s="8">
        <f>LN(I171)</f>
        <v>11.425053802620743</v>
      </c>
      <c r="K171" s="8">
        <f>LN(C171)</f>
        <v>11.922993297604966</v>
      </c>
      <c r="L171" s="8">
        <f>LN(D171)</f>
        <v>11.9518575859113</v>
      </c>
    </row>
    <row r="172" spans="1:12" x14ac:dyDescent="0.3">
      <c r="A172">
        <v>1752584</v>
      </c>
      <c r="B172" t="s">
        <v>180</v>
      </c>
      <c r="C172">
        <v>28006</v>
      </c>
      <c r="D172">
        <v>140865</v>
      </c>
      <c r="E172">
        <v>833569207</v>
      </c>
      <c r="F172">
        <v>1186300561</v>
      </c>
      <c r="G172" s="9">
        <v>7.477768795472918E-2</v>
      </c>
      <c r="H172" s="18">
        <f>E172+F172</f>
        <v>2019869768</v>
      </c>
      <c r="I172" s="4">
        <f>H172/C172</f>
        <v>72122.751124758986</v>
      </c>
      <c r="J172" s="8">
        <f>LN(I172)</f>
        <v>11.186124823078311</v>
      </c>
      <c r="K172" s="8">
        <f>LN(C172)</f>
        <v>10.240174051915723</v>
      </c>
      <c r="L172" s="8">
        <f>LN(D172)</f>
        <v>11.855557263906825</v>
      </c>
    </row>
    <row r="173" spans="1:12" x14ac:dyDescent="0.3">
      <c r="A173">
        <v>1752103</v>
      </c>
      <c r="B173" t="s">
        <v>181</v>
      </c>
      <c r="C173">
        <v>1138</v>
      </c>
      <c r="D173">
        <v>99375</v>
      </c>
      <c r="E173">
        <v>21128291</v>
      </c>
      <c r="F173">
        <v>28696235</v>
      </c>
      <c r="G173" s="9">
        <v>0</v>
      </c>
      <c r="H173" s="18">
        <f>E173+F173</f>
        <v>49824526</v>
      </c>
      <c r="I173" s="4">
        <f>H173/C173</f>
        <v>43782.53602811951</v>
      </c>
      <c r="J173" s="8">
        <f>LN(I173)</f>
        <v>10.686990296035066</v>
      </c>
      <c r="K173" s="8">
        <f>LN(C173)</f>
        <v>7.0370276146862762</v>
      </c>
      <c r="L173" s="8">
        <f>LN(D173)</f>
        <v>11.506655851956634</v>
      </c>
    </row>
    <row r="174" spans="1:12" x14ac:dyDescent="0.3">
      <c r="A174">
        <v>1753000</v>
      </c>
      <c r="B174" t="s">
        <v>182</v>
      </c>
      <c r="C174">
        <v>30064</v>
      </c>
      <c r="D174">
        <v>75274</v>
      </c>
      <c r="E174">
        <v>1991658274</v>
      </c>
      <c r="F174">
        <v>1619625927</v>
      </c>
      <c r="G174" s="9">
        <v>0.13114648033126294</v>
      </c>
      <c r="H174" s="18">
        <f>E174+F174</f>
        <v>3611284201</v>
      </c>
      <c r="I174" s="4">
        <f>H174/C174</f>
        <v>120119.88428020224</v>
      </c>
      <c r="J174" s="8">
        <f>LN(I174)</f>
        <v>11.696245558728522</v>
      </c>
      <c r="K174" s="8">
        <f>LN(C174)</f>
        <v>10.311083721653247</v>
      </c>
      <c r="L174" s="8">
        <f>LN(D174)</f>
        <v>11.228890068638645</v>
      </c>
    </row>
    <row r="175" spans="1:12" x14ac:dyDescent="0.3">
      <c r="A175">
        <v>1753377</v>
      </c>
      <c r="B175" t="s">
        <v>183</v>
      </c>
      <c r="C175">
        <v>15439</v>
      </c>
      <c r="D175">
        <v>87807</v>
      </c>
      <c r="E175">
        <v>745235700</v>
      </c>
      <c r="F175">
        <v>652134187</v>
      </c>
      <c r="G175" s="9">
        <v>0</v>
      </c>
      <c r="H175" s="18">
        <f>E175+F175</f>
        <v>1397369887</v>
      </c>
      <c r="I175" s="4">
        <f>H175/C175</f>
        <v>90509.09301120539</v>
      </c>
      <c r="J175" s="8">
        <f>LN(I175)</f>
        <v>11.413205599902655</v>
      </c>
      <c r="K175" s="8">
        <f>LN(C175)</f>
        <v>9.6446520546419272</v>
      </c>
      <c r="L175" s="8">
        <f>LN(D175)</f>
        <v>11.382896503096688</v>
      </c>
    </row>
    <row r="176" spans="1:12" x14ac:dyDescent="0.3">
      <c r="A176">
        <v>1753442</v>
      </c>
      <c r="B176" t="s">
        <v>184</v>
      </c>
      <c r="C176">
        <v>18696</v>
      </c>
      <c r="D176">
        <v>114305</v>
      </c>
      <c r="E176">
        <v>720429540</v>
      </c>
      <c r="F176">
        <v>705859131</v>
      </c>
      <c r="G176" s="9">
        <v>0</v>
      </c>
      <c r="H176" s="18">
        <f>E176+F176</f>
        <v>1426288671</v>
      </c>
      <c r="I176" s="4">
        <f>H176/C176</f>
        <v>76288.439826700895</v>
      </c>
      <c r="J176" s="8">
        <f>LN(I176)</f>
        <v>11.242276696314153</v>
      </c>
      <c r="K176" s="8">
        <f>LN(C176)</f>
        <v>9.8360648762186944</v>
      </c>
      <c r="L176" s="8">
        <f>LN(D176)</f>
        <v>11.646625593358072</v>
      </c>
    </row>
    <row r="177" spans="1:12" x14ac:dyDescent="0.3">
      <c r="A177">
        <v>1753455</v>
      </c>
      <c r="B177" t="s">
        <v>185</v>
      </c>
      <c r="C177">
        <v>3143</v>
      </c>
      <c r="D177">
        <v>226055</v>
      </c>
      <c r="E177">
        <v>21595611</v>
      </c>
      <c r="F177">
        <v>279483200</v>
      </c>
      <c r="G177" s="9">
        <v>0</v>
      </c>
      <c r="H177" s="18">
        <f>E177+F177</f>
        <v>301078811</v>
      </c>
      <c r="I177" s="4">
        <f>H177/C177</f>
        <v>95793.449252306717</v>
      </c>
      <c r="J177" s="8">
        <f>LN(I177)</f>
        <v>11.469949582208725</v>
      </c>
      <c r="K177" s="8">
        <f>LN(C177)</f>
        <v>8.0529330367975671</v>
      </c>
      <c r="L177" s="8">
        <f>LN(D177)</f>
        <v>12.328533611478351</v>
      </c>
    </row>
    <row r="178" spans="1:12" x14ac:dyDescent="0.3">
      <c r="A178">
        <v>1753559</v>
      </c>
      <c r="B178" t="s">
        <v>186</v>
      </c>
      <c r="C178">
        <v>30643</v>
      </c>
      <c r="D178">
        <v>60172</v>
      </c>
      <c r="E178">
        <v>163757172</v>
      </c>
      <c r="F178">
        <v>258913043</v>
      </c>
      <c r="G178" s="9">
        <v>0.20790662895412726</v>
      </c>
      <c r="H178" s="18">
        <f>E178+F178</f>
        <v>422670215</v>
      </c>
      <c r="I178" s="4">
        <f>H178/C178</f>
        <v>13793.369284991679</v>
      </c>
      <c r="J178" s="8">
        <f>LN(I178)</f>
        <v>9.5319432690798163</v>
      </c>
      <c r="K178" s="8">
        <f>LN(C178)</f>
        <v>10.330159530288689</v>
      </c>
      <c r="L178" s="8">
        <f>LN(D178)</f>
        <v>11.004962406817715</v>
      </c>
    </row>
    <row r="179" spans="1:12" x14ac:dyDescent="0.3">
      <c r="A179">
        <v>1754144</v>
      </c>
      <c r="B179" t="s">
        <v>187</v>
      </c>
      <c r="C179">
        <v>7249</v>
      </c>
      <c r="D179">
        <v>77170</v>
      </c>
      <c r="E179">
        <v>600529209</v>
      </c>
      <c r="F179">
        <v>326841269</v>
      </c>
      <c r="G179" s="9">
        <v>0</v>
      </c>
      <c r="H179" s="18">
        <f>E179+F179</f>
        <v>927370478</v>
      </c>
      <c r="I179" s="4">
        <f>H179/C179</f>
        <v>127930.81500896675</v>
      </c>
      <c r="J179" s="8">
        <f>LN(I179)</f>
        <v>11.75924488903234</v>
      </c>
      <c r="K179" s="8">
        <f>LN(C179)</f>
        <v>8.8886188073008778</v>
      </c>
      <c r="L179" s="8">
        <f>LN(D179)</f>
        <v>11.25376605945165</v>
      </c>
    </row>
    <row r="180" spans="1:12" x14ac:dyDescent="0.3">
      <c r="A180">
        <v>1753481</v>
      </c>
      <c r="B180" t="s">
        <v>188</v>
      </c>
      <c r="C180">
        <v>34585</v>
      </c>
      <c r="D180">
        <v>157782</v>
      </c>
      <c r="E180">
        <v>1108482661</v>
      </c>
      <c r="F180">
        <v>3206339539</v>
      </c>
      <c r="G180" s="9">
        <v>0</v>
      </c>
      <c r="H180" s="18">
        <f>E180+F180</f>
        <v>4314822200</v>
      </c>
      <c r="I180" s="4">
        <f>H180/C180</f>
        <v>124759.93060575394</v>
      </c>
      <c r="J180" s="8">
        <f>LN(I180)</f>
        <v>11.73414661449967</v>
      </c>
      <c r="K180" s="8">
        <f>LN(C180)</f>
        <v>10.451175341034686</v>
      </c>
      <c r="L180" s="8">
        <f>LN(D180)</f>
        <v>11.968969612446546</v>
      </c>
    </row>
    <row r="181" spans="1:12" x14ac:dyDescent="0.3">
      <c r="A181">
        <v>1753663</v>
      </c>
      <c r="B181" t="s">
        <v>189</v>
      </c>
      <c r="C181">
        <v>5487</v>
      </c>
      <c r="D181">
        <v>161500</v>
      </c>
      <c r="E181">
        <v>404707077</v>
      </c>
      <c r="F181">
        <v>704525695</v>
      </c>
      <c r="G181" s="9">
        <v>0</v>
      </c>
      <c r="H181" s="18">
        <f>E181+F181</f>
        <v>1109232772</v>
      </c>
      <c r="I181" s="4">
        <f>H181/C181</f>
        <v>202156.5102970658</v>
      </c>
      <c r="J181" s="8">
        <f>LN(I181)</f>
        <v>12.216797479828923</v>
      </c>
      <c r="K181" s="8">
        <f>LN(C181)</f>
        <v>8.6101369370589751</v>
      </c>
      <c r="L181" s="8">
        <f>LN(D181)</f>
        <v>11.992260421644849</v>
      </c>
    </row>
    <row r="182" spans="1:12" x14ac:dyDescent="0.3">
      <c r="A182">
        <v>1753871</v>
      </c>
      <c r="B182" t="s">
        <v>190</v>
      </c>
      <c r="C182">
        <v>12513</v>
      </c>
      <c r="D182">
        <v>83892</v>
      </c>
      <c r="E182">
        <v>496876121</v>
      </c>
      <c r="F182">
        <v>590411689</v>
      </c>
      <c r="G182" s="9">
        <v>0</v>
      </c>
      <c r="H182" s="18">
        <f>E182+F182</f>
        <v>1087287810</v>
      </c>
      <c r="I182" s="4">
        <f>H182/C182</f>
        <v>86892.65643730521</v>
      </c>
      <c r="J182" s="8">
        <f>LN(I182)</f>
        <v>11.372428801782833</v>
      </c>
      <c r="K182" s="8">
        <f>LN(C182)</f>
        <v>9.4345233828650557</v>
      </c>
      <c r="L182" s="8">
        <f>LN(D182)</f>
        <v>11.337285536299985</v>
      </c>
    </row>
    <row r="183" spans="1:12" x14ac:dyDescent="0.3">
      <c r="A183">
        <v>1754534</v>
      </c>
      <c r="B183" t="s">
        <v>191</v>
      </c>
      <c r="C183">
        <v>8056</v>
      </c>
      <c r="D183">
        <v>175870</v>
      </c>
      <c r="E183">
        <v>1834167906</v>
      </c>
      <c r="F183">
        <v>1748738802</v>
      </c>
      <c r="G183" s="9">
        <v>0</v>
      </c>
      <c r="H183" s="18">
        <f>E183+F183</f>
        <v>3582906708</v>
      </c>
      <c r="I183" s="4">
        <f>H183/C183</f>
        <v>444750.08788480633</v>
      </c>
      <c r="J183" s="8">
        <f>LN(I183)</f>
        <v>13.005267803133023</v>
      </c>
      <c r="K183" s="8">
        <f>LN(C183)</f>
        <v>8.9941724343983989</v>
      </c>
      <c r="L183" s="8">
        <f>LN(D183)</f>
        <v>12.07750036473041</v>
      </c>
    </row>
    <row r="184" spans="1:12" x14ac:dyDescent="0.3">
      <c r="A184">
        <v>1754638</v>
      </c>
      <c r="B184" t="s">
        <v>192</v>
      </c>
      <c r="C184">
        <v>26805</v>
      </c>
      <c r="D184">
        <v>91990</v>
      </c>
      <c r="E184">
        <v>306904232</v>
      </c>
      <c r="F184">
        <v>648100850</v>
      </c>
      <c r="G184" s="9">
        <v>7.32949996360725E-2</v>
      </c>
      <c r="H184" s="18">
        <f>E184+F184</f>
        <v>955005082</v>
      </c>
      <c r="I184" s="4">
        <f>H184/C184</f>
        <v>35627.870994217497</v>
      </c>
      <c r="J184" s="8">
        <f>LN(I184)</f>
        <v>10.480883503635177</v>
      </c>
      <c r="K184" s="8">
        <f>LN(C184)</f>
        <v>10.196343716261637</v>
      </c>
      <c r="L184" s="8">
        <f>LN(D184)</f>
        <v>11.429435154471204</v>
      </c>
    </row>
    <row r="185" spans="1:12" x14ac:dyDescent="0.3">
      <c r="A185">
        <v>1754820</v>
      </c>
      <c r="B185" t="s">
        <v>193</v>
      </c>
      <c r="C185">
        <v>56861</v>
      </c>
      <c r="D185">
        <v>83911</v>
      </c>
      <c r="E185">
        <v>1503815054</v>
      </c>
      <c r="F185">
        <v>1633123906</v>
      </c>
      <c r="G185" s="9">
        <v>0.28835543675679381</v>
      </c>
      <c r="H185" s="18">
        <f>E185+F185</f>
        <v>3136938960</v>
      </c>
      <c r="I185" s="4">
        <f>H185/C185</f>
        <v>55168.550676210405</v>
      </c>
      <c r="J185" s="8">
        <f>LN(I185)</f>
        <v>10.918148335778405</v>
      </c>
      <c r="K185" s="8">
        <f>LN(C185)</f>
        <v>10.948364972106267</v>
      </c>
      <c r="L185" s="8">
        <f>LN(D185)</f>
        <v>11.33751199232379</v>
      </c>
    </row>
    <row r="186" spans="1:12" x14ac:dyDescent="0.3">
      <c r="A186">
        <v>1754885</v>
      </c>
      <c r="B186" t="s">
        <v>194</v>
      </c>
      <c r="C186">
        <v>53292</v>
      </c>
      <c r="D186">
        <v>110820</v>
      </c>
      <c r="E186">
        <v>647054614</v>
      </c>
      <c r="F186">
        <v>2361857488</v>
      </c>
      <c r="G186" s="9">
        <v>0</v>
      </c>
      <c r="H186" s="18">
        <f>E186+F186</f>
        <v>3008912102</v>
      </c>
      <c r="I186" s="4">
        <f>H186/C186</f>
        <v>56460.85907828567</v>
      </c>
      <c r="J186" s="8">
        <f>LN(I186)</f>
        <v>10.941302917389308</v>
      </c>
      <c r="K186" s="8">
        <f>LN(C186)</f>
        <v>10.883541505080103</v>
      </c>
      <c r="L186" s="8">
        <f>LN(D186)</f>
        <v>11.61566254242134</v>
      </c>
    </row>
    <row r="187" spans="1:12" x14ac:dyDescent="0.3">
      <c r="A187">
        <v>1754560</v>
      </c>
      <c r="B187" t="s">
        <v>195</v>
      </c>
      <c r="C187">
        <v>2723</v>
      </c>
      <c r="D187">
        <v>76905</v>
      </c>
      <c r="E187">
        <v>291153404</v>
      </c>
      <c r="F187">
        <v>308975314</v>
      </c>
      <c r="G187" s="9">
        <v>0</v>
      </c>
      <c r="H187" s="18">
        <f>E187+F187</f>
        <v>600128718</v>
      </c>
      <c r="I187" s="4">
        <f>H187/C187</f>
        <v>220392.47814910027</v>
      </c>
      <c r="J187" s="8">
        <f>LN(I187)</f>
        <v>12.303165227498392</v>
      </c>
      <c r="K187" s="8">
        <f>LN(C187)</f>
        <v>7.9094894926737593</v>
      </c>
      <c r="L187" s="8">
        <f>LN(D187)</f>
        <v>11.250326172885911</v>
      </c>
    </row>
    <row r="188" spans="1:12" x14ac:dyDescent="0.3">
      <c r="A188">
        <v>1755041</v>
      </c>
      <c r="B188" t="s">
        <v>196</v>
      </c>
      <c r="C188">
        <v>2416</v>
      </c>
      <c r="D188">
        <v>109907</v>
      </c>
      <c r="E188">
        <v>5254580</v>
      </c>
      <c r="F188">
        <v>66641613</v>
      </c>
      <c r="G188" s="9">
        <v>0</v>
      </c>
      <c r="H188" s="18">
        <f>E188+F188</f>
        <v>71896193</v>
      </c>
      <c r="I188" s="4">
        <f>H188/C188</f>
        <v>29758.358029801326</v>
      </c>
      <c r="J188" s="8">
        <f>LN(I188)</f>
        <v>10.300865313695107</v>
      </c>
      <c r="K188" s="8">
        <f>LN(C188)</f>
        <v>7.7898685590547059</v>
      </c>
      <c r="L188" s="8">
        <f>LN(D188)</f>
        <v>11.607389832630835</v>
      </c>
    </row>
    <row r="189" spans="1:12" x14ac:dyDescent="0.3">
      <c r="A189">
        <v>1755639</v>
      </c>
      <c r="B189" t="s">
        <v>197</v>
      </c>
      <c r="C189">
        <v>143</v>
      </c>
      <c r="D189">
        <v>108333</v>
      </c>
      <c r="E189">
        <v>1232702</v>
      </c>
      <c r="F189">
        <v>9590529</v>
      </c>
      <c r="G189" s="9">
        <v>0</v>
      </c>
      <c r="H189" s="18">
        <f>E189+F189</f>
        <v>10823231</v>
      </c>
      <c r="I189" s="4">
        <f>H189/C189</f>
        <v>75686.930069930066</v>
      </c>
      <c r="J189" s="8">
        <f>LN(I189)</f>
        <v>11.234360770224885</v>
      </c>
      <c r="K189" s="8">
        <f>LN(C189)</f>
        <v>4.962844630259907</v>
      </c>
      <c r="L189" s="8">
        <f>LN(D189)</f>
        <v>11.592965095715954</v>
      </c>
    </row>
    <row r="190" spans="1:12" x14ac:dyDescent="0.3">
      <c r="A190">
        <v>1755938</v>
      </c>
      <c r="B190" t="s">
        <v>198</v>
      </c>
      <c r="C190">
        <v>4734</v>
      </c>
      <c r="D190">
        <v>123875</v>
      </c>
      <c r="E190">
        <v>184873540</v>
      </c>
      <c r="F190">
        <v>162930713</v>
      </c>
      <c r="G190" s="9">
        <v>0</v>
      </c>
      <c r="H190" s="18">
        <f>E190+F190</f>
        <v>347804253</v>
      </c>
      <c r="I190" s="4">
        <f>H190/C190</f>
        <v>73469.423954372629</v>
      </c>
      <c r="J190" s="8">
        <f>LN(I190)</f>
        <v>11.204624598027884</v>
      </c>
      <c r="K190" s="8">
        <f>LN(C190)</f>
        <v>8.4625257900739292</v>
      </c>
      <c r="L190" s="8">
        <f>LN(D190)</f>
        <v>11.727028271632289</v>
      </c>
    </row>
    <row r="191" spans="1:12" x14ac:dyDescent="0.3">
      <c r="A191">
        <v>1756627</v>
      </c>
      <c r="B191" t="s">
        <v>199</v>
      </c>
      <c r="C191">
        <v>6719</v>
      </c>
      <c r="D191">
        <v>122039</v>
      </c>
      <c r="E191">
        <v>226480404</v>
      </c>
      <c r="F191">
        <v>210846722</v>
      </c>
      <c r="G191" s="9">
        <v>0</v>
      </c>
      <c r="H191" s="18">
        <f>E191+F191</f>
        <v>437327126</v>
      </c>
      <c r="I191" s="4">
        <f>H191/C191</f>
        <v>65088.127102247359</v>
      </c>
      <c r="J191" s="8">
        <f>LN(I191)</f>
        <v>11.083497432181758</v>
      </c>
      <c r="K191" s="8">
        <f>LN(C191)</f>
        <v>8.8126946129201507</v>
      </c>
      <c r="L191" s="8">
        <f>LN(D191)</f>
        <v>11.712095944762291</v>
      </c>
    </row>
    <row r="192" spans="1:12" x14ac:dyDescent="0.3">
      <c r="A192">
        <v>1756640</v>
      </c>
      <c r="B192" t="s">
        <v>200</v>
      </c>
      <c r="C192">
        <v>57916</v>
      </c>
      <c r="D192">
        <v>98910</v>
      </c>
      <c r="E192">
        <v>2637557543</v>
      </c>
      <c r="F192">
        <v>3005244106</v>
      </c>
      <c r="G192" s="9">
        <v>0</v>
      </c>
      <c r="H192" s="18">
        <f>E192+F192</f>
        <v>5642801649</v>
      </c>
      <c r="I192" s="4">
        <f>H192/C192</f>
        <v>97430.79026521169</v>
      </c>
      <c r="J192" s="8">
        <f>LN(I192)</f>
        <v>11.486897561494073</v>
      </c>
      <c r="K192" s="8">
        <f>LN(C192)</f>
        <v>10.966748963901312</v>
      </c>
      <c r="L192" s="8">
        <f>LN(D192)</f>
        <v>11.501965624733886</v>
      </c>
    </row>
    <row r="193" spans="1:12" x14ac:dyDescent="0.3">
      <c r="A193">
        <v>1756887</v>
      </c>
      <c r="B193" t="s">
        <v>201</v>
      </c>
      <c r="C193">
        <v>36375</v>
      </c>
      <c r="D193">
        <v>123792</v>
      </c>
      <c r="E193">
        <v>931568836</v>
      </c>
      <c r="F193">
        <v>1230736678</v>
      </c>
      <c r="G193" s="9">
        <v>0.10371548359115224</v>
      </c>
      <c r="H193" s="18">
        <f>E193+F193</f>
        <v>2162305514</v>
      </c>
      <c r="I193" s="4">
        <f>H193/C193</f>
        <v>59444.825127147764</v>
      </c>
      <c r="J193" s="8">
        <f>LN(I193)</f>
        <v>10.992803852529512</v>
      </c>
      <c r="K193" s="8">
        <f>LN(C193)</f>
        <v>10.501637004473794</v>
      </c>
      <c r="L193" s="8">
        <f>LN(D193)</f>
        <v>11.726358016789236</v>
      </c>
    </row>
    <row r="194" spans="1:12" x14ac:dyDescent="0.3">
      <c r="A194">
        <v>1757225</v>
      </c>
      <c r="B194" t="s">
        <v>202</v>
      </c>
      <c r="C194">
        <v>66293</v>
      </c>
      <c r="D194">
        <v>97819</v>
      </c>
      <c r="E194">
        <v>1230796629</v>
      </c>
      <c r="F194">
        <v>2334196490</v>
      </c>
      <c r="G194" s="9">
        <v>8.3907639747894211E-2</v>
      </c>
      <c r="H194" s="18">
        <f>E194+F194</f>
        <v>3564993119</v>
      </c>
      <c r="I194" s="4">
        <f>H194/C194</f>
        <v>53776.313019474153</v>
      </c>
      <c r="J194" s="8">
        <f>LN(I194)</f>
        <v>10.892588370750426</v>
      </c>
      <c r="K194" s="8">
        <f>LN(C194)</f>
        <v>11.101839589906104</v>
      </c>
      <c r="L194" s="8">
        <f>LN(D194)</f>
        <v>11.490874111182784</v>
      </c>
    </row>
    <row r="195" spans="1:12" x14ac:dyDescent="0.3">
      <c r="A195">
        <v>1757381</v>
      </c>
      <c r="B195" t="s">
        <v>203</v>
      </c>
      <c r="C195">
        <v>12152</v>
      </c>
      <c r="D195">
        <v>108740</v>
      </c>
      <c r="E195">
        <v>200362043</v>
      </c>
      <c r="F195">
        <v>550106537</v>
      </c>
      <c r="G195" s="9">
        <v>0</v>
      </c>
      <c r="H195" s="18">
        <f>E195+F195</f>
        <v>750468580</v>
      </c>
      <c r="I195" s="4">
        <f>H195/C195</f>
        <v>61756.795589203422</v>
      </c>
      <c r="J195" s="8">
        <f>LN(I195)</f>
        <v>11.030959298462749</v>
      </c>
      <c r="K195" s="8">
        <f>LN(C195)</f>
        <v>9.4052490442756085</v>
      </c>
      <c r="L195" s="8">
        <f>LN(D195)</f>
        <v>11.596714990699912</v>
      </c>
    </row>
    <row r="196" spans="1:12" x14ac:dyDescent="0.3">
      <c r="A196">
        <v>1757394</v>
      </c>
      <c r="B196" t="s">
        <v>204</v>
      </c>
      <c r="C196">
        <v>18081</v>
      </c>
      <c r="D196">
        <v>83533</v>
      </c>
      <c r="E196">
        <v>157166645</v>
      </c>
      <c r="F196">
        <v>519539384</v>
      </c>
      <c r="G196" s="9">
        <v>0</v>
      </c>
      <c r="H196" s="18">
        <f>E196+F196</f>
        <v>676706029</v>
      </c>
      <c r="I196" s="4">
        <f>H196/C196</f>
        <v>37426.360765444391</v>
      </c>
      <c r="J196" s="8">
        <f>LN(I196)</f>
        <v>10.530130568424941</v>
      </c>
      <c r="K196" s="8">
        <f>LN(C196)</f>
        <v>9.802616942151154</v>
      </c>
      <c r="L196" s="8">
        <f>LN(D196)</f>
        <v>11.332997042345049</v>
      </c>
    </row>
    <row r="197" spans="1:12" x14ac:dyDescent="0.3">
      <c r="A197">
        <v>1757407</v>
      </c>
      <c r="B197" t="s">
        <v>205</v>
      </c>
      <c r="C197">
        <v>4816</v>
      </c>
      <c r="D197">
        <v>121696</v>
      </c>
      <c r="E197">
        <v>114948815</v>
      </c>
      <c r="F197">
        <v>313016274</v>
      </c>
      <c r="G197" s="9">
        <v>0</v>
      </c>
      <c r="H197" s="18">
        <f>E197+F197</f>
        <v>427965089</v>
      </c>
      <c r="I197" s="4">
        <f>H197/C197</f>
        <v>88863.182931893694</v>
      </c>
      <c r="J197" s="8">
        <f>LN(I197)</f>
        <v>11.394853195473575</v>
      </c>
      <c r="K197" s="8">
        <f>LN(C197)</f>
        <v>8.479698986988657</v>
      </c>
      <c r="L197" s="8">
        <f>LN(D197)</f>
        <v>11.709281410727986</v>
      </c>
    </row>
    <row r="198" spans="1:12" x14ac:dyDescent="0.3">
      <c r="A198">
        <v>1757654</v>
      </c>
      <c r="B198" t="s">
        <v>206</v>
      </c>
      <c r="C198">
        <v>7827</v>
      </c>
      <c r="D198">
        <v>60171</v>
      </c>
      <c r="E198">
        <v>60022364</v>
      </c>
      <c r="F198">
        <v>62844558</v>
      </c>
      <c r="G198" s="9">
        <v>0.16296766011414077</v>
      </c>
      <c r="H198" s="18">
        <f>E198+F198</f>
        <v>122866922</v>
      </c>
      <c r="I198" s="4">
        <f>H198/C198</f>
        <v>15697.830841957328</v>
      </c>
      <c r="J198" s="8">
        <f>LN(I198)</f>
        <v>9.6612778188583679</v>
      </c>
      <c r="K198" s="8">
        <f>LN(C198)</f>
        <v>8.9653345738048387</v>
      </c>
      <c r="L198" s="8">
        <f>LN(D198)</f>
        <v>11.004945787654156</v>
      </c>
    </row>
    <row r="199" spans="1:12" x14ac:dyDescent="0.3">
      <c r="A199">
        <v>1757732</v>
      </c>
      <c r="B199" t="s">
        <v>207</v>
      </c>
      <c r="C199">
        <v>21156</v>
      </c>
      <c r="D199">
        <v>61072</v>
      </c>
      <c r="E199">
        <v>65437728</v>
      </c>
      <c r="F199">
        <v>215805187</v>
      </c>
      <c r="G199" s="9">
        <v>0.89717342186563376</v>
      </c>
      <c r="H199" s="18">
        <f>E199+F199</f>
        <v>281242915</v>
      </c>
      <c r="I199" s="4">
        <f>H199/C199</f>
        <v>13293.766071090944</v>
      </c>
      <c r="J199" s="8">
        <f>LN(I199)</f>
        <v>9.495050487868621</v>
      </c>
      <c r="K199" s="8">
        <f>LN(C199)</f>
        <v>9.9596788321858707</v>
      </c>
      <c r="L199" s="8">
        <f>LN(D199)</f>
        <v>11.019808774985011</v>
      </c>
    </row>
    <row r="200" spans="1:12" x14ac:dyDescent="0.3">
      <c r="A200">
        <v>1757875</v>
      </c>
      <c r="B200" t="s">
        <v>208</v>
      </c>
      <c r="C200">
        <v>38667</v>
      </c>
      <c r="D200">
        <v>142986</v>
      </c>
      <c r="E200">
        <v>596741708</v>
      </c>
      <c r="F200">
        <v>2045142443</v>
      </c>
      <c r="G200" s="9">
        <v>0</v>
      </c>
      <c r="H200" s="18">
        <f>E200+F200</f>
        <v>2641884151</v>
      </c>
      <c r="I200" s="4">
        <f>H200/C200</f>
        <v>68324.001112059384</v>
      </c>
      <c r="J200" s="8">
        <f>LN(I200)</f>
        <v>11.132016391034215</v>
      </c>
      <c r="K200" s="8">
        <f>LN(C200)</f>
        <v>10.562741802072889</v>
      </c>
      <c r="L200" s="8">
        <f>LN(D200)</f>
        <v>11.870502002351419</v>
      </c>
    </row>
    <row r="201" spans="1:12" x14ac:dyDescent="0.3">
      <c r="A201">
        <v>1759052</v>
      </c>
      <c r="B201" t="s">
        <v>209</v>
      </c>
      <c r="C201">
        <v>4587</v>
      </c>
      <c r="D201">
        <v>108523</v>
      </c>
      <c r="E201">
        <v>122860183</v>
      </c>
      <c r="F201">
        <v>116780720</v>
      </c>
      <c r="G201" s="9">
        <v>0</v>
      </c>
      <c r="H201" s="18">
        <f>E201+F201</f>
        <v>239640903</v>
      </c>
      <c r="I201" s="4">
        <f>H201/C201</f>
        <v>52243.493132766511</v>
      </c>
      <c r="J201" s="8">
        <f>LN(I201)</f>
        <v>10.863670628727956</v>
      </c>
      <c r="K201" s="8">
        <f>LN(C201)</f>
        <v>8.4309814945971713</v>
      </c>
      <c r="L201" s="8">
        <f>LN(D201)</f>
        <v>11.594717411064554</v>
      </c>
    </row>
    <row r="202" spans="1:12" x14ac:dyDescent="0.3">
      <c r="A202">
        <v>1759572</v>
      </c>
      <c r="B202" t="s">
        <v>210</v>
      </c>
      <c r="C202">
        <v>1751</v>
      </c>
      <c r="D202">
        <v>30288</v>
      </c>
      <c r="E202">
        <v>10714128</v>
      </c>
      <c r="F202">
        <v>5731998</v>
      </c>
      <c r="G202" s="9">
        <v>0</v>
      </c>
      <c r="H202" s="18">
        <f>E202+F202</f>
        <v>16446126</v>
      </c>
      <c r="I202" s="4">
        <f>H202/C202</f>
        <v>9392.4191890348375</v>
      </c>
      <c r="J202" s="8">
        <f>LN(I202)</f>
        <v>9.1476581736352092</v>
      </c>
      <c r="K202" s="8">
        <f>LN(C202)</f>
        <v>7.467942332285852</v>
      </c>
      <c r="L202" s="8">
        <f>LN(D202)</f>
        <v>10.318506873449104</v>
      </c>
    </row>
    <row r="203" spans="1:12" x14ac:dyDescent="0.3">
      <c r="A203">
        <v>1759988</v>
      </c>
      <c r="B203" t="s">
        <v>211</v>
      </c>
      <c r="C203">
        <v>10914</v>
      </c>
      <c r="D203">
        <v>114294</v>
      </c>
      <c r="E203">
        <v>65657645</v>
      </c>
      <c r="F203">
        <v>365835350</v>
      </c>
      <c r="G203" s="9">
        <v>0</v>
      </c>
      <c r="H203" s="18">
        <f>E203+F203</f>
        <v>431492995</v>
      </c>
      <c r="I203" s="4">
        <f>H203/C203</f>
        <v>39535.733461608943</v>
      </c>
      <c r="J203" s="8">
        <f>LN(I203)</f>
        <v>10.584960186542599</v>
      </c>
      <c r="K203" s="8">
        <f>LN(C203)</f>
        <v>9.2978016477461765</v>
      </c>
      <c r="L203" s="8">
        <f>LN(D203)</f>
        <v>11.646529354966754</v>
      </c>
    </row>
    <row r="204" spans="1:12" x14ac:dyDescent="0.3">
      <c r="A204">
        <v>1760287</v>
      </c>
      <c r="B204" t="s">
        <v>212</v>
      </c>
      <c r="C204">
        <v>46708</v>
      </c>
      <c r="D204">
        <v>144000</v>
      </c>
      <c r="E204">
        <v>1028327031</v>
      </c>
      <c r="F204">
        <v>1973593050</v>
      </c>
      <c r="G204" s="9">
        <v>0</v>
      </c>
      <c r="H204" s="18">
        <f>E204+F204</f>
        <v>3001920081</v>
      </c>
      <c r="I204" s="4">
        <f>H204/C204</f>
        <v>64269.934079815022</v>
      </c>
      <c r="J204" s="8">
        <f>LN(I204)</f>
        <v>11.070847212688985</v>
      </c>
      <c r="K204" s="8">
        <f>LN(C204)</f>
        <v>10.751670735195605</v>
      </c>
      <c r="L204" s="8">
        <f>LN(D204)</f>
        <v>11.877568578558138</v>
      </c>
    </row>
    <row r="205" spans="1:12" x14ac:dyDescent="0.3">
      <c r="A205">
        <v>1760352</v>
      </c>
      <c r="B205" t="s">
        <v>213</v>
      </c>
      <c r="C205">
        <v>12203</v>
      </c>
      <c r="D205">
        <v>86271</v>
      </c>
      <c r="E205">
        <v>268441272</v>
      </c>
      <c r="F205">
        <v>302264082</v>
      </c>
      <c r="G205" s="9">
        <v>0</v>
      </c>
      <c r="H205" s="18">
        <f>E205+F205</f>
        <v>570705354</v>
      </c>
      <c r="I205" s="4">
        <f>H205/C205</f>
        <v>46767.627140867</v>
      </c>
      <c r="J205" s="8">
        <f>LN(I205)</f>
        <v>10.752946514792455</v>
      </c>
      <c r="K205" s="8">
        <f>LN(C205)</f>
        <v>9.4094371021318395</v>
      </c>
      <c r="L205" s="8">
        <f>LN(D205)</f>
        <v>11.365248783518455</v>
      </c>
    </row>
    <row r="206" spans="1:12" x14ac:dyDescent="0.3">
      <c r="A206">
        <v>1760391</v>
      </c>
      <c r="B206" t="s">
        <v>214</v>
      </c>
      <c r="C206">
        <v>225</v>
      </c>
      <c r="D206">
        <v>113750</v>
      </c>
      <c r="E206">
        <v>2688315</v>
      </c>
      <c r="F206">
        <v>7870556</v>
      </c>
      <c r="G206" s="9">
        <v>0</v>
      </c>
      <c r="H206" s="18">
        <f>E206+F206</f>
        <v>10558871</v>
      </c>
      <c r="I206" s="4">
        <f>H206/C206</f>
        <v>46928.315555555557</v>
      </c>
      <c r="J206" s="8">
        <f>LN(I206)</f>
        <v>10.756376515443593</v>
      </c>
      <c r="K206" s="8">
        <f>LN(C206)</f>
        <v>5.4161004022044201</v>
      </c>
      <c r="L206" s="8">
        <f>LN(D206)</f>
        <v>11.641758336813197</v>
      </c>
    </row>
    <row r="207" spans="1:12" x14ac:dyDescent="0.3">
      <c r="A207">
        <v>1761216</v>
      </c>
      <c r="B207" t="s">
        <v>215</v>
      </c>
      <c r="C207">
        <v>1477</v>
      </c>
      <c r="D207">
        <v>149886</v>
      </c>
      <c r="E207">
        <v>8528407</v>
      </c>
      <c r="F207">
        <v>60669656</v>
      </c>
      <c r="G207" s="9">
        <v>0</v>
      </c>
      <c r="H207" s="18">
        <f>E207+F207</f>
        <v>69198063</v>
      </c>
      <c r="I207" s="4">
        <f>H207/C207</f>
        <v>46850.415030467164</v>
      </c>
      <c r="J207" s="8">
        <f>LN(I207)</f>
        <v>10.754715146335274</v>
      </c>
      <c r="K207" s="8">
        <f>LN(C207)</f>
        <v>7.2977682825313801</v>
      </c>
      <c r="L207" s="8">
        <f>LN(D207)</f>
        <v>11.917630284131985</v>
      </c>
    </row>
    <row r="208" spans="1:12" x14ac:dyDescent="0.3">
      <c r="A208">
        <v>1761314</v>
      </c>
      <c r="B208" t="s">
        <v>216</v>
      </c>
      <c r="C208">
        <v>5292</v>
      </c>
      <c r="D208">
        <v>73051</v>
      </c>
      <c r="E208">
        <v>87646047</v>
      </c>
      <c r="F208">
        <v>71889963</v>
      </c>
      <c r="G208" s="9">
        <v>0</v>
      </c>
      <c r="H208" s="18">
        <f>E208+F208</f>
        <v>159536010</v>
      </c>
      <c r="I208" s="4">
        <f>H208/C208</f>
        <v>30146.638321995466</v>
      </c>
      <c r="J208" s="8">
        <f>LN(I208)</f>
        <v>10.313828697497641</v>
      </c>
      <c r="K208" s="8">
        <f>LN(C208)</f>
        <v>8.5739515252348468</v>
      </c>
      <c r="L208" s="8">
        <f>LN(D208)</f>
        <v>11.198913106339084</v>
      </c>
    </row>
    <row r="209" spans="1:12" x14ac:dyDescent="0.3">
      <c r="A209">
        <v>1761678</v>
      </c>
      <c r="B209" t="s">
        <v>217</v>
      </c>
      <c r="C209">
        <v>2165</v>
      </c>
      <c r="D209">
        <v>141389</v>
      </c>
      <c r="E209">
        <v>52611421</v>
      </c>
      <c r="F209">
        <v>101730453</v>
      </c>
      <c r="G209" s="9">
        <v>0</v>
      </c>
      <c r="H209" s="18">
        <f>E209+F209</f>
        <v>154341874</v>
      </c>
      <c r="I209" s="4">
        <f>H209/C209</f>
        <v>71289.549191685917</v>
      </c>
      <c r="J209" s="8">
        <f>LN(I209)</f>
        <v>11.17450502050753</v>
      </c>
      <c r="K209" s="8">
        <f>LN(C209)</f>
        <v>7.6801756404365902</v>
      </c>
      <c r="L209" s="8">
        <f>LN(D209)</f>
        <v>11.859270235924903</v>
      </c>
    </row>
    <row r="210" spans="1:12" x14ac:dyDescent="0.3">
      <c r="A210">
        <v>1762016</v>
      </c>
      <c r="B210" t="s">
        <v>218</v>
      </c>
      <c r="C210">
        <v>15618</v>
      </c>
      <c r="D210">
        <v>85008</v>
      </c>
      <c r="E210">
        <v>179225038</v>
      </c>
      <c r="F210">
        <v>529334333</v>
      </c>
      <c r="G210" s="9">
        <v>0.17580022418732097</v>
      </c>
      <c r="H210" s="18">
        <f>E210+F210</f>
        <v>708559371</v>
      </c>
      <c r="I210" s="4">
        <f>H210/C210</f>
        <v>45368.124663849405</v>
      </c>
      <c r="J210" s="8">
        <f>LN(I210)</f>
        <v>10.722565037526657</v>
      </c>
      <c r="K210" s="8">
        <f>LN(C210)</f>
        <v>9.6561793742226207</v>
      </c>
      <c r="L210" s="8">
        <f>LN(D210)</f>
        <v>11.350500648690725</v>
      </c>
    </row>
    <row r="211" spans="1:12" x14ac:dyDescent="0.3">
      <c r="A211">
        <v>1763641</v>
      </c>
      <c r="B211" t="s">
        <v>219</v>
      </c>
      <c r="C211">
        <v>2622</v>
      </c>
      <c r="D211">
        <v>73029</v>
      </c>
      <c r="E211">
        <v>62549578</v>
      </c>
      <c r="F211">
        <v>75308084</v>
      </c>
      <c r="G211" s="9">
        <v>0</v>
      </c>
      <c r="H211" s="18">
        <f>E211+F211</f>
        <v>137857662</v>
      </c>
      <c r="I211" s="4">
        <f>H211/C211</f>
        <v>52577.292906178489</v>
      </c>
      <c r="J211" s="8">
        <f>LN(I211)</f>
        <v>10.870039611720319</v>
      </c>
      <c r="K211" s="8">
        <f>LN(C211)</f>
        <v>7.8716926643236453</v>
      </c>
      <c r="L211" s="8">
        <f>LN(D211)</f>
        <v>11.19861190151753</v>
      </c>
    </row>
    <row r="212" spans="1:12" x14ac:dyDescent="0.3">
      <c r="A212">
        <v>1763706</v>
      </c>
      <c r="B212" t="s">
        <v>220</v>
      </c>
      <c r="C212">
        <v>12521</v>
      </c>
      <c r="D212">
        <v>64554</v>
      </c>
      <c r="E212">
        <v>152954984</v>
      </c>
      <c r="F212">
        <v>218936786</v>
      </c>
      <c r="G212" s="9">
        <v>0</v>
      </c>
      <c r="H212" s="18">
        <f>E212+F212</f>
        <v>371891770</v>
      </c>
      <c r="I212" s="4">
        <f>H212/C212</f>
        <v>29701.443175465218</v>
      </c>
      <c r="J212" s="8">
        <f>LN(I212)</f>
        <v>10.298950915376755</v>
      </c>
      <c r="K212" s="8">
        <f>LN(C212)</f>
        <v>9.4351625136689474</v>
      </c>
      <c r="L212" s="8">
        <f>LN(D212)</f>
        <v>11.075257361821965</v>
      </c>
    </row>
    <row r="213" spans="1:12" x14ac:dyDescent="0.3">
      <c r="A213">
        <v>1764135</v>
      </c>
      <c r="B213" t="s">
        <v>221</v>
      </c>
      <c r="C213">
        <v>730</v>
      </c>
      <c r="D213">
        <v>143750</v>
      </c>
      <c r="E213">
        <v>11014743</v>
      </c>
      <c r="F213">
        <v>49935362</v>
      </c>
      <c r="G213" s="9">
        <v>0</v>
      </c>
      <c r="H213" s="18">
        <f>E213+F213</f>
        <v>60950105</v>
      </c>
      <c r="I213" s="4">
        <f>H213/C213</f>
        <v>83493.294520547948</v>
      </c>
      <c r="J213" s="8">
        <f>LN(I213)</f>
        <v>11.332521602471179</v>
      </c>
      <c r="K213" s="8">
        <f>LN(C213)</f>
        <v>6.5930445341424369</v>
      </c>
      <c r="L213" s="8">
        <f>LN(D213)</f>
        <v>11.875830958659597</v>
      </c>
    </row>
    <row r="214" spans="1:12" x14ac:dyDescent="0.3">
      <c r="A214">
        <v>1764304</v>
      </c>
      <c r="B214" t="s">
        <v>222</v>
      </c>
      <c r="C214">
        <v>11992</v>
      </c>
      <c r="D214">
        <v>146786</v>
      </c>
      <c r="E214">
        <v>257207045</v>
      </c>
      <c r="F214">
        <v>753085077</v>
      </c>
      <c r="G214" s="9">
        <v>0</v>
      </c>
      <c r="H214" s="18">
        <f>E214+F214</f>
        <v>1010292122</v>
      </c>
      <c r="I214" s="4">
        <f>H214/C214</f>
        <v>84247.174949966648</v>
      </c>
      <c r="J214" s="8">
        <f>LN(I214)</f>
        <v>11.341510315901269</v>
      </c>
      <c r="K214" s="8">
        <f>LN(C214)</f>
        <v>9.391995039782433</v>
      </c>
      <c r="L214" s="8">
        <f>LN(D214)</f>
        <v>11.896731022767339</v>
      </c>
    </row>
    <row r="215" spans="1:12" x14ac:dyDescent="0.3">
      <c r="A215">
        <v>1764343</v>
      </c>
      <c r="B215" t="s">
        <v>223</v>
      </c>
      <c r="C215">
        <v>10451</v>
      </c>
      <c r="D215">
        <v>69858</v>
      </c>
      <c r="E215">
        <v>152018409</v>
      </c>
      <c r="F215">
        <v>283755806</v>
      </c>
      <c r="G215" s="9">
        <v>0</v>
      </c>
      <c r="H215" s="18">
        <f>E215+F215</f>
        <v>435774215</v>
      </c>
      <c r="I215" s="4">
        <f>H215/C215</f>
        <v>41696.891685006216</v>
      </c>
      <c r="J215" s="8">
        <f>LN(I215)</f>
        <v>10.638181865080746</v>
      </c>
      <c r="K215" s="8">
        <f>LN(C215)</f>
        <v>9.2544529465945029</v>
      </c>
      <c r="L215" s="8">
        <f>LN(D215)</f>
        <v>11.154219889265072</v>
      </c>
    </row>
    <row r="216" spans="1:12" x14ac:dyDescent="0.3">
      <c r="A216">
        <v>1764278</v>
      </c>
      <c r="B216" t="s">
        <v>224</v>
      </c>
      <c r="C216">
        <v>10340</v>
      </c>
      <c r="D216">
        <v>39833</v>
      </c>
      <c r="E216">
        <v>48689148</v>
      </c>
      <c r="F216">
        <v>127888284</v>
      </c>
      <c r="G216" s="9">
        <v>0.8597955547219357</v>
      </c>
      <c r="H216" s="18">
        <f>E216+F216</f>
        <v>176577432</v>
      </c>
      <c r="I216" s="4">
        <f>H216/C216</f>
        <v>17077.121083172147</v>
      </c>
      <c r="J216" s="8">
        <f>LN(I216)</f>
        <v>9.7454948982861893</v>
      </c>
      <c r="K216" s="8">
        <f>LN(C216)</f>
        <v>9.2437751480624204</v>
      </c>
      <c r="L216" s="8">
        <f>LN(D216)</f>
        <v>10.592450993449742</v>
      </c>
    </row>
    <row r="217" spans="1:12" x14ac:dyDescent="0.3">
      <c r="A217">
        <v>1764421</v>
      </c>
      <c r="B217" t="s">
        <v>225</v>
      </c>
      <c r="C217">
        <v>9039</v>
      </c>
      <c r="D217">
        <v>153686</v>
      </c>
      <c r="E217">
        <v>59419679</v>
      </c>
      <c r="F217">
        <v>409410156</v>
      </c>
      <c r="G217" s="9">
        <v>0</v>
      </c>
      <c r="H217" s="18">
        <f>E217+F217</f>
        <v>468829835</v>
      </c>
      <c r="I217" s="4">
        <f>H217/C217</f>
        <v>51867.444960725741</v>
      </c>
      <c r="J217" s="8">
        <f>LN(I217)</f>
        <v>10.856446607615254</v>
      </c>
      <c r="K217" s="8">
        <f>LN(C217)</f>
        <v>9.1093038277984117</v>
      </c>
      <c r="L217" s="8">
        <f>LN(D217)</f>
        <v>11.942666838845852</v>
      </c>
    </row>
    <row r="218" spans="1:12" x14ac:dyDescent="0.3">
      <c r="A218">
        <v>1764538</v>
      </c>
      <c r="B218" t="s">
        <v>226</v>
      </c>
      <c r="C218">
        <v>4013</v>
      </c>
      <c r="D218">
        <v>249205</v>
      </c>
      <c r="E218">
        <v>49282232</v>
      </c>
      <c r="F218">
        <v>360984932</v>
      </c>
      <c r="G218" s="9">
        <v>0</v>
      </c>
      <c r="H218" s="18">
        <f>E218+F218</f>
        <v>410267164</v>
      </c>
      <c r="I218" s="4">
        <f>H218/C218</f>
        <v>102234.52878146025</v>
      </c>
      <c r="J218" s="8">
        <f>LN(I218)</f>
        <v>11.535024754696094</v>
      </c>
      <c r="K218" s="8">
        <f>LN(C218)</f>
        <v>8.2972943702669166</v>
      </c>
      <c r="L218" s="8">
        <f>LN(D218)</f>
        <v>12.426031129899609</v>
      </c>
    </row>
    <row r="219" spans="1:12" x14ac:dyDescent="0.3">
      <c r="A219">
        <v>1764616</v>
      </c>
      <c r="B219" t="s">
        <v>227</v>
      </c>
      <c r="C219">
        <v>4556</v>
      </c>
      <c r="D219">
        <v>40668</v>
      </c>
      <c r="E219">
        <v>12520931</v>
      </c>
      <c r="F219">
        <v>62698876</v>
      </c>
      <c r="G219" s="9">
        <v>0</v>
      </c>
      <c r="H219" s="18">
        <f>E219+F219</f>
        <v>75219807</v>
      </c>
      <c r="I219" s="4">
        <f>H219/C219</f>
        <v>16510.054214223004</v>
      </c>
      <c r="J219" s="8">
        <f>LN(I219)</f>
        <v>9.7117248206291347</v>
      </c>
      <c r="K219" s="8">
        <f>LN(C219)</f>
        <v>8.4242003245670727</v>
      </c>
      <c r="L219" s="8">
        <f>LN(D219)</f>
        <v>10.613196821395052</v>
      </c>
    </row>
    <row r="220" spans="1:12" x14ac:dyDescent="0.3">
      <c r="A220">
        <v>1764902</v>
      </c>
      <c r="B220" t="s">
        <v>228</v>
      </c>
      <c r="C220">
        <v>2553</v>
      </c>
      <c r="D220">
        <v>59135</v>
      </c>
      <c r="E220">
        <v>79561158</v>
      </c>
      <c r="F220">
        <v>58395608</v>
      </c>
      <c r="G220" s="9">
        <v>0</v>
      </c>
      <c r="H220" s="18">
        <f>E220+F220</f>
        <v>137956766</v>
      </c>
      <c r="I220" s="4">
        <f>H220/C220</f>
        <v>54037.119467293378</v>
      </c>
      <c r="J220" s="8">
        <f>LN(I220)</f>
        <v>10.897426486939404</v>
      </c>
      <c r="K220" s="8">
        <f>LN(C220)</f>
        <v>7.8450244172414836</v>
      </c>
      <c r="L220" s="8">
        <f>LN(D220)</f>
        <v>10.987578244685217</v>
      </c>
    </row>
    <row r="221" spans="1:12" x14ac:dyDescent="0.3">
      <c r="A221">
        <v>1765338</v>
      </c>
      <c r="B221" t="s">
        <v>229</v>
      </c>
      <c r="C221">
        <v>24027</v>
      </c>
      <c r="D221">
        <v>98514</v>
      </c>
      <c r="E221">
        <v>427798367</v>
      </c>
      <c r="F221">
        <v>1012827838</v>
      </c>
      <c r="G221" s="9">
        <v>0</v>
      </c>
      <c r="H221" s="18">
        <f>E221+F221</f>
        <v>1440626205</v>
      </c>
      <c r="I221" s="4">
        <f>H221/C221</f>
        <v>59958.638406792357</v>
      </c>
      <c r="J221" s="8">
        <f>LN(I221)</f>
        <v>11.001410243599661</v>
      </c>
      <c r="K221" s="8">
        <f>LN(C221)</f>
        <v>10.086933476991792</v>
      </c>
      <c r="L221" s="8">
        <f>LN(D221)</f>
        <v>11.497953949040083</v>
      </c>
    </row>
    <row r="222" spans="1:12" x14ac:dyDescent="0.3">
      <c r="A222">
        <v>1765442</v>
      </c>
      <c r="B222" t="s">
        <v>230</v>
      </c>
      <c r="C222">
        <v>41152</v>
      </c>
      <c r="D222">
        <v>106325</v>
      </c>
      <c r="E222">
        <v>1514364577</v>
      </c>
      <c r="F222">
        <v>1580427628</v>
      </c>
      <c r="G222" s="9">
        <v>0.18014198630308809</v>
      </c>
      <c r="H222" s="18">
        <f>E222+F222</f>
        <v>3094792205</v>
      </c>
      <c r="I222" s="4">
        <f>H222/C222</f>
        <v>75203.931886664068</v>
      </c>
      <c r="J222" s="8">
        <f>LN(I222)</f>
        <v>11.227958794297995</v>
      </c>
      <c r="K222" s="8">
        <f>LN(C222)</f>
        <v>10.625027807597291</v>
      </c>
      <c r="L222" s="8">
        <f>LN(D222)</f>
        <v>11.574255720121835</v>
      </c>
    </row>
    <row r="223" spans="1:12" x14ac:dyDescent="0.3">
      <c r="A223">
        <v>1765806</v>
      </c>
      <c r="B223" t="s">
        <v>231</v>
      </c>
      <c r="C223">
        <v>22752</v>
      </c>
      <c r="D223">
        <v>111318</v>
      </c>
      <c r="E223">
        <v>423216861</v>
      </c>
      <c r="F223">
        <v>924608667</v>
      </c>
      <c r="G223" s="9">
        <v>0</v>
      </c>
      <c r="H223" s="18">
        <f>E223+F223</f>
        <v>1347825528</v>
      </c>
      <c r="I223" s="4">
        <f>H223/C223</f>
        <v>59239.870253164554</v>
      </c>
      <c r="J223" s="8">
        <f>LN(I223)</f>
        <v>10.989350078189677</v>
      </c>
      <c r="K223" s="8">
        <f>LN(C223)</f>
        <v>10.032408332602968</v>
      </c>
      <c r="L223" s="8">
        <f>LN(D223)</f>
        <v>11.620146249254933</v>
      </c>
    </row>
    <row r="224" spans="1:12" x14ac:dyDescent="0.3">
      <c r="A224">
        <v>1765819</v>
      </c>
      <c r="B224" t="s">
        <v>232</v>
      </c>
      <c r="C224">
        <v>3290</v>
      </c>
      <c r="D224">
        <v>63517</v>
      </c>
      <c r="E224">
        <v>811403165</v>
      </c>
      <c r="F224">
        <v>795542779</v>
      </c>
      <c r="G224" s="9">
        <v>0</v>
      </c>
      <c r="H224" s="18">
        <f>E224+F224</f>
        <v>1606945944</v>
      </c>
      <c r="I224" s="4">
        <f>H224/C224</f>
        <v>488433.41762917931</v>
      </c>
      <c r="J224" s="8">
        <f>LN(I224)</f>
        <v>13.098958441542131</v>
      </c>
      <c r="K224" s="8">
        <f>LN(C224)</f>
        <v>8.0986428437594178</v>
      </c>
      <c r="L224" s="8">
        <f>LN(D224)</f>
        <v>11.059062865586538</v>
      </c>
    </row>
    <row r="225" spans="1:12" x14ac:dyDescent="0.3">
      <c r="A225">
        <v>1766027</v>
      </c>
      <c r="B225" t="s">
        <v>233</v>
      </c>
      <c r="C225">
        <v>18628</v>
      </c>
      <c r="D225">
        <v>111977</v>
      </c>
      <c r="E225">
        <v>116921194</v>
      </c>
      <c r="F225">
        <v>418572083</v>
      </c>
      <c r="G225" s="9">
        <v>2.5265744351263286E-2</v>
      </c>
      <c r="H225" s="18">
        <f>E225+F225</f>
        <v>535493277</v>
      </c>
      <c r="I225" s="4">
        <f>H225/C225</f>
        <v>28746.686547133348</v>
      </c>
      <c r="J225" s="8">
        <f>LN(I225)</f>
        <v>10.266277789049152</v>
      </c>
      <c r="K225" s="8">
        <f>LN(C225)</f>
        <v>9.8324211041022682</v>
      </c>
      <c r="L225" s="8">
        <f>LN(D225)</f>
        <v>11.62604877204571</v>
      </c>
    </row>
    <row r="226" spans="1:12" x14ac:dyDescent="0.3">
      <c r="A226">
        <v>1766040</v>
      </c>
      <c r="B226" t="s">
        <v>234</v>
      </c>
      <c r="C226">
        <v>27079</v>
      </c>
      <c r="D226">
        <v>86059</v>
      </c>
      <c r="E226">
        <v>553792648</v>
      </c>
      <c r="F226">
        <v>498096977</v>
      </c>
      <c r="G226" s="9">
        <v>0.29784969910465287</v>
      </c>
      <c r="H226" s="18">
        <f>E226+F226</f>
        <v>1051889625</v>
      </c>
      <c r="I226" s="4">
        <f>H226/C226</f>
        <v>38845.216773145243</v>
      </c>
      <c r="J226" s="8">
        <f>LN(I226)</f>
        <v>10.567340227833496</v>
      </c>
      <c r="K226" s="8">
        <f>LN(C226)</f>
        <v>10.206513798722508</v>
      </c>
      <c r="L226" s="8">
        <f>LN(D226)</f>
        <v>11.36278838652494</v>
      </c>
    </row>
    <row r="227" spans="1:12" x14ac:dyDescent="0.3">
      <c r="A227">
        <v>1766053</v>
      </c>
      <c r="B227" t="s">
        <v>235</v>
      </c>
      <c r="C227">
        <v>2592</v>
      </c>
      <c r="D227">
        <v>78986</v>
      </c>
      <c r="E227">
        <v>17444628</v>
      </c>
      <c r="F227">
        <v>52230828</v>
      </c>
      <c r="G227" s="9">
        <v>0</v>
      </c>
      <c r="H227" s="18">
        <f>E227+F227</f>
        <v>69675456</v>
      </c>
      <c r="I227" s="4">
        <f>H227/C227</f>
        <v>26880.962962962964</v>
      </c>
      <c r="J227" s="8">
        <f>LN(I227)</f>
        <v>10.199173618510395</v>
      </c>
      <c r="K227" s="8">
        <f>LN(C227)</f>
        <v>7.8601850574721652</v>
      </c>
      <c r="L227" s="8">
        <f>LN(D227)</f>
        <v>11.277025900554818</v>
      </c>
    </row>
    <row r="228" spans="1:12" x14ac:dyDescent="0.3">
      <c r="A228">
        <v>1766066</v>
      </c>
      <c r="B228" t="s">
        <v>236</v>
      </c>
      <c r="C228">
        <v>7919</v>
      </c>
      <c r="D228">
        <v>55813</v>
      </c>
      <c r="E228">
        <v>44777988</v>
      </c>
      <c r="F228">
        <v>99880265</v>
      </c>
      <c r="G228" s="9">
        <v>0.52604166666666663</v>
      </c>
      <c r="H228" s="18">
        <f>E228+F228</f>
        <v>144658253</v>
      </c>
      <c r="I228" s="4">
        <f>H228/C228</f>
        <v>18267.237403712588</v>
      </c>
      <c r="J228" s="8">
        <f>LN(I228)</f>
        <v>9.8128644285086821</v>
      </c>
      <c r="K228" s="8">
        <f>LN(C228)</f>
        <v>8.9770202142104125</v>
      </c>
      <c r="L228" s="8">
        <f>LN(D228)</f>
        <v>10.929762096145357</v>
      </c>
    </row>
    <row r="229" spans="1:12" x14ac:dyDescent="0.3">
      <c r="A229">
        <v>1767548</v>
      </c>
      <c r="B229" t="s">
        <v>237</v>
      </c>
      <c r="C229">
        <v>7219</v>
      </c>
      <c r="D229">
        <v>80768</v>
      </c>
      <c r="E229">
        <v>137133992</v>
      </c>
      <c r="F229">
        <v>199637840</v>
      </c>
      <c r="G229" s="9">
        <v>0</v>
      </c>
      <c r="H229" s="18">
        <f>E229+F229</f>
        <v>336771832</v>
      </c>
      <c r="I229" s="4">
        <f>H229/C229</f>
        <v>46650.759384956364</v>
      </c>
      <c r="J229" s="8">
        <f>LN(I229)</f>
        <v>10.750444484491474</v>
      </c>
      <c r="K229" s="8">
        <f>LN(C229)</f>
        <v>8.8844717181391601</v>
      </c>
      <c r="L229" s="8">
        <f>LN(D229)</f>
        <v>11.29933612646083</v>
      </c>
    </row>
    <row r="230" spans="1:12" x14ac:dyDescent="0.3">
      <c r="A230">
        <v>1767769</v>
      </c>
      <c r="B230" t="s">
        <v>238</v>
      </c>
      <c r="C230">
        <v>9678</v>
      </c>
      <c r="D230">
        <v>69973</v>
      </c>
      <c r="E230">
        <v>58292442</v>
      </c>
      <c r="F230">
        <v>103639257</v>
      </c>
      <c r="G230" s="9">
        <v>0.404495514565064</v>
      </c>
      <c r="H230" s="18">
        <f>E230+F230</f>
        <v>161931699</v>
      </c>
      <c r="I230" s="4">
        <f>H230/C230</f>
        <v>16731.938313701179</v>
      </c>
      <c r="J230" s="8">
        <f>LN(I230)</f>
        <v>9.7250746458293289</v>
      </c>
      <c r="K230" s="8">
        <f>LN(C230)</f>
        <v>9.1776105473532645</v>
      </c>
      <c r="L230" s="8">
        <f>LN(D230)</f>
        <v>11.155864732338893</v>
      </c>
    </row>
    <row r="231" spans="1:12" x14ac:dyDescent="0.3">
      <c r="A231">
        <v>1768003</v>
      </c>
      <c r="B231" t="s">
        <v>239</v>
      </c>
      <c r="C231">
        <v>76868</v>
      </c>
      <c r="D231">
        <v>97514</v>
      </c>
      <c r="E231">
        <v>4216665942</v>
      </c>
      <c r="F231">
        <v>4215556094</v>
      </c>
      <c r="G231" s="9">
        <v>0.13722800198163179</v>
      </c>
      <c r="H231" s="18">
        <f>E231+F231</f>
        <v>8432222036</v>
      </c>
      <c r="I231" s="4">
        <f>H231/C231</f>
        <v>109697.42982775667</v>
      </c>
      <c r="J231" s="8">
        <f>LN(I231)</f>
        <v>11.6054812168891</v>
      </c>
      <c r="K231" s="8">
        <f>LN(C231)</f>
        <v>11.249844944052318</v>
      </c>
      <c r="L231" s="8">
        <f>LN(D231)</f>
        <v>11.487751236421508</v>
      </c>
    </row>
    <row r="232" spans="1:12" x14ac:dyDescent="0.3">
      <c r="A232">
        <v>1768081</v>
      </c>
      <c r="B232" t="s">
        <v>240</v>
      </c>
      <c r="C232">
        <v>11393</v>
      </c>
      <c r="D232">
        <v>69696</v>
      </c>
      <c r="E232">
        <v>327187568</v>
      </c>
      <c r="F232">
        <v>491441198</v>
      </c>
      <c r="G232" s="9">
        <v>0</v>
      </c>
      <c r="H232" s="18">
        <f>E232+F232</f>
        <v>818628766</v>
      </c>
      <c r="I232" s="4">
        <f>H232/C232</f>
        <v>71853.661546563686</v>
      </c>
      <c r="J232" s="8">
        <f>LN(I232)</f>
        <v>11.182386851190801</v>
      </c>
      <c r="K232" s="8">
        <f>LN(C232)</f>
        <v>9.340754410698116</v>
      </c>
      <c r="L232" s="8">
        <f>LN(D232)</f>
        <v>11.151898206292632</v>
      </c>
    </row>
    <row r="233" spans="1:12" x14ac:dyDescent="0.3">
      <c r="A233">
        <v>1769758</v>
      </c>
      <c r="B233" t="s">
        <v>241</v>
      </c>
      <c r="C233">
        <v>18343</v>
      </c>
      <c r="D233">
        <v>122105</v>
      </c>
      <c r="E233">
        <v>627523527</v>
      </c>
      <c r="F233">
        <v>764469498</v>
      </c>
      <c r="G233" s="9">
        <v>0</v>
      </c>
      <c r="H233" s="18">
        <f>E233+F233</f>
        <v>1391993025</v>
      </c>
      <c r="I233" s="4">
        <f>H233/C233</f>
        <v>75886.879190972031</v>
      </c>
      <c r="J233" s="8">
        <f>LN(I233)</f>
        <v>11.236999078755872</v>
      </c>
      <c r="K233" s="8">
        <f>LN(C233)</f>
        <v>9.8170033093143516</v>
      </c>
      <c r="L233" s="8">
        <f>LN(D233)</f>
        <v>11.712636609301317</v>
      </c>
    </row>
    <row r="234" spans="1:12" x14ac:dyDescent="0.3">
      <c r="A234">
        <v>1770122</v>
      </c>
      <c r="B234" t="s">
        <v>242</v>
      </c>
      <c r="C234">
        <v>66219</v>
      </c>
      <c r="D234">
        <v>95337</v>
      </c>
      <c r="E234">
        <v>1964571107</v>
      </c>
      <c r="F234">
        <v>3223728231</v>
      </c>
      <c r="G234" s="9">
        <v>1.1043288511441377E-2</v>
      </c>
      <c r="H234" s="18">
        <f>E234+F234</f>
        <v>5188299338</v>
      </c>
      <c r="I234" s="4">
        <f>H234/C234</f>
        <v>78350.614446004925</v>
      </c>
      <c r="J234" s="8">
        <f>LN(I234)</f>
        <v>11.268949090076388</v>
      </c>
      <c r="K234" s="8">
        <f>LN(C234)</f>
        <v>11.100722709809322</v>
      </c>
      <c r="L234" s="8">
        <f>LN(D234)</f>
        <v>11.465173261932716</v>
      </c>
    </row>
    <row r="235" spans="1:12" x14ac:dyDescent="0.3">
      <c r="A235">
        <v>1770161</v>
      </c>
      <c r="B235" t="s">
        <v>243</v>
      </c>
      <c r="C235">
        <v>3161</v>
      </c>
      <c r="D235">
        <v>149813</v>
      </c>
      <c r="E235">
        <v>10857850</v>
      </c>
      <c r="F235">
        <v>129223898</v>
      </c>
      <c r="G235" s="9">
        <v>0</v>
      </c>
      <c r="H235" s="18">
        <f>E235+F235</f>
        <v>140081748</v>
      </c>
      <c r="I235" s="4">
        <f>H235/C235</f>
        <v>44315.643150901611</v>
      </c>
      <c r="J235" s="8">
        <f>LN(I235)</f>
        <v>10.699093012232062</v>
      </c>
      <c r="K235" s="8">
        <f>LN(C235)</f>
        <v>8.058643712215618</v>
      </c>
      <c r="L235" s="8">
        <f>LN(D235)</f>
        <v>11.917143128676386</v>
      </c>
    </row>
    <row r="236" spans="1:12" x14ac:dyDescent="0.3">
      <c r="A236">
        <v>1770564</v>
      </c>
      <c r="B236" t="s">
        <v>244</v>
      </c>
      <c r="C236">
        <v>5021</v>
      </c>
      <c r="D236">
        <v>221575</v>
      </c>
      <c r="E236">
        <v>103381395</v>
      </c>
      <c r="F236">
        <v>518335246</v>
      </c>
      <c r="G236" s="9">
        <v>0</v>
      </c>
      <c r="H236" s="18">
        <f>E236+F236</f>
        <v>621716641</v>
      </c>
      <c r="I236" s="4">
        <f>H236/C236</f>
        <v>123823.27046405099</v>
      </c>
      <c r="J236" s="8">
        <f>LN(I236)</f>
        <v>11.726610589776019</v>
      </c>
      <c r="K236" s="8">
        <f>LN(C236)</f>
        <v>8.5213843960347049</v>
      </c>
      <c r="L236" s="8">
        <f>LN(D236)</f>
        <v>12.308516411606599</v>
      </c>
    </row>
    <row r="237" spans="1:12" x14ac:dyDescent="0.3">
      <c r="A237">
        <v>1770629</v>
      </c>
      <c r="B237" t="s">
        <v>245</v>
      </c>
      <c r="C237">
        <v>3907</v>
      </c>
      <c r="D237">
        <v>58691</v>
      </c>
      <c r="E237">
        <v>127462498</v>
      </c>
      <c r="F237">
        <v>92153924</v>
      </c>
      <c r="G237" s="9">
        <v>0</v>
      </c>
      <c r="H237" s="18">
        <f>E237+F237</f>
        <v>219616422</v>
      </c>
      <c r="I237" s="4">
        <f>H237/C237</f>
        <v>56211.011517788582</v>
      </c>
      <c r="J237" s="8">
        <f>LN(I237)</f>
        <v>10.936867951169353</v>
      </c>
      <c r="K237" s="8">
        <f>LN(C237)</f>
        <v>8.2705250950550706</v>
      </c>
      <c r="L237" s="8">
        <f>LN(D237)</f>
        <v>10.980041672085022</v>
      </c>
    </row>
    <row r="238" spans="1:12" x14ac:dyDescent="0.3">
      <c r="A238">
        <v>1770720</v>
      </c>
      <c r="B238" t="s">
        <v>246</v>
      </c>
      <c r="C238">
        <v>24217</v>
      </c>
      <c r="D238">
        <v>127203</v>
      </c>
      <c r="E238">
        <v>592477448</v>
      </c>
      <c r="F238">
        <v>901480667</v>
      </c>
      <c r="G238" s="9">
        <v>0</v>
      </c>
      <c r="H238" s="18">
        <f>E238+F238</f>
        <v>1493958115</v>
      </c>
      <c r="I238" s="4">
        <f>H238/C238</f>
        <v>61690.47012429285</v>
      </c>
      <c r="J238" s="8">
        <f>LN(I238)</f>
        <v>11.029884742928299</v>
      </c>
      <c r="K238" s="8">
        <f>LN(C238)</f>
        <v>10.094810144860501</v>
      </c>
      <c r="L238" s="8">
        <f>LN(D238)</f>
        <v>11.753539514515699</v>
      </c>
    </row>
    <row r="239" spans="1:12" x14ac:dyDescent="0.3">
      <c r="A239">
        <v>1770850</v>
      </c>
      <c r="B239" t="s">
        <v>247</v>
      </c>
      <c r="C239">
        <v>20911</v>
      </c>
      <c r="D239">
        <v>85280</v>
      </c>
      <c r="E239">
        <v>298035711</v>
      </c>
      <c r="F239">
        <v>552042373</v>
      </c>
      <c r="G239" s="9">
        <v>0.48912182622874445</v>
      </c>
      <c r="H239" s="18">
        <f>E239+F239</f>
        <v>850078084</v>
      </c>
      <c r="I239" s="4">
        <f>H239/C239</f>
        <v>40652.196642915209</v>
      </c>
      <c r="J239" s="8">
        <f>LN(I239)</f>
        <v>10.612808151472052</v>
      </c>
      <c r="K239" s="8">
        <f>LN(C239)</f>
        <v>9.9480306152868003</v>
      </c>
      <c r="L239" s="8">
        <f>LN(D239)</f>
        <v>11.353695239399672</v>
      </c>
    </row>
    <row r="240" spans="1:12" x14ac:dyDescent="0.3">
      <c r="A240">
        <v>1772052</v>
      </c>
      <c r="B240" t="s">
        <v>248</v>
      </c>
      <c r="C240">
        <v>5917</v>
      </c>
      <c r="D240">
        <v>134210</v>
      </c>
      <c r="E240">
        <v>110550283</v>
      </c>
      <c r="F240">
        <v>250191443</v>
      </c>
      <c r="G240" s="9">
        <v>0</v>
      </c>
      <c r="H240" s="18">
        <f>E240+F240</f>
        <v>360741726</v>
      </c>
      <c r="I240" s="4">
        <f>H240/C240</f>
        <v>60966.997802940678</v>
      </c>
      <c r="J240" s="8">
        <f>LN(I240)</f>
        <v>11.018087977127601</v>
      </c>
      <c r="K240" s="8">
        <f>LN(C240)</f>
        <v>8.6855848426766933</v>
      </c>
      <c r="L240" s="8">
        <f>LN(D240)</f>
        <v>11.807161016391852</v>
      </c>
    </row>
    <row r="241" spans="1:12" x14ac:dyDescent="0.3">
      <c r="A241">
        <v>1766703</v>
      </c>
      <c r="B241" t="s">
        <v>249</v>
      </c>
      <c r="C241">
        <v>32854</v>
      </c>
      <c r="D241">
        <v>114300</v>
      </c>
      <c r="E241">
        <v>1816010473</v>
      </c>
      <c r="F241">
        <v>1772736532</v>
      </c>
      <c r="G241" s="9">
        <v>0</v>
      </c>
      <c r="H241" s="18">
        <f>E241+F241</f>
        <v>3588747005</v>
      </c>
      <c r="I241" s="4">
        <f>H241/C241</f>
        <v>109233.1833262312</v>
      </c>
      <c r="J241" s="8">
        <f>LN(I241)</f>
        <v>11.601240172745634</v>
      </c>
      <c r="K241" s="8">
        <f>LN(C241)</f>
        <v>10.399828782101146</v>
      </c>
      <c r="L241" s="8">
        <f>LN(D241)</f>
        <v>11.646581849782901</v>
      </c>
    </row>
    <row r="242" spans="1:12" x14ac:dyDescent="0.3">
      <c r="A242">
        <v>1772520</v>
      </c>
      <c r="B242" t="s">
        <v>250</v>
      </c>
      <c r="C242">
        <v>9418</v>
      </c>
      <c r="D242">
        <v>66575</v>
      </c>
      <c r="E242">
        <v>59765428</v>
      </c>
      <c r="F242">
        <v>141711315</v>
      </c>
      <c r="G242" s="9">
        <v>0.11769616026711185</v>
      </c>
      <c r="H242" s="18">
        <f>E242+F242</f>
        <v>201476743</v>
      </c>
      <c r="I242" s="4">
        <f>H242/C242</f>
        <v>21392.731259290718</v>
      </c>
      <c r="J242" s="8">
        <f>LN(I242)</f>
        <v>9.970806482531346</v>
      </c>
      <c r="K242" s="8">
        <f>LN(C242)</f>
        <v>9.1503780308035001</v>
      </c>
      <c r="L242" s="8">
        <f>LN(D242)</f>
        <v>11.106084410682133</v>
      </c>
    </row>
    <row r="243" spans="1:12" x14ac:dyDescent="0.3">
      <c r="A243">
        <v>1772676</v>
      </c>
      <c r="B243" t="s">
        <v>251</v>
      </c>
      <c r="C243">
        <v>6952</v>
      </c>
      <c r="D243">
        <v>66942</v>
      </c>
      <c r="E243">
        <v>84064987</v>
      </c>
      <c r="F243">
        <v>156724408</v>
      </c>
      <c r="G243" s="9">
        <v>0</v>
      </c>
      <c r="H243" s="18">
        <f>E243+F243</f>
        <v>240789395</v>
      </c>
      <c r="I243" s="4">
        <f>H243/C243</f>
        <v>34635.988924050631</v>
      </c>
      <c r="J243" s="8">
        <f>LN(I243)</f>
        <v>10.452648562786218</v>
      </c>
      <c r="K243" s="8">
        <f>LN(C243)</f>
        <v>8.8467846669452275</v>
      </c>
      <c r="L243" s="8">
        <f>LN(D243)</f>
        <v>11.111581851821235</v>
      </c>
    </row>
    <row r="244" spans="1:12" x14ac:dyDescent="0.3">
      <c r="A244">
        <v>1772923</v>
      </c>
      <c r="B244" t="s">
        <v>252</v>
      </c>
      <c r="C244">
        <v>4482</v>
      </c>
      <c r="D244">
        <v>67224</v>
      </c>
      <c r="E244">
        <v>44015898</v>
      </c>
      <c r="F244">
        <v>65792626</v>
      </c>
      <c r="G244" s="9">
        <v>0</v>
      </c>
      <c r="H244" s="18">
        <f>E244+F244</f>
        <v>109808524</v>
      </c>
      <c r="I244" s="4">
        <f>H244/C244</f>
        <v>24499.893797411871</v>
      </c>
      <c r="J244" s="8">
        <f>LN(I244)</f>
        <v>10.106424061723908</v>
      </c>
      <c r="K244" s="8">
        <f>LN(C244)</f>
        <v>8.4078246543608728</v>
      </c>
      <c r="L244" s="8">
        <f>LN(D244)</f>
        <v>11.115785605608053</v>
      </c>
    </row>
    <row r="245" spans="1:12" x14ac:dyDescent="0.3">
      <c r="A245">
        <v>1773157</v>
      </c>
      <c r="B245" t="s">
        <v>253</v>
      </c>
      <c r="C245">
        <v>39001</v>
      </c>
      <c r="D245">
        <v>101218</v>
      </c>
      <c r="E245">
        <v>703126212</v>
      </c>
      <c r="F245">
        <v>1050907889</v>
      </c>
      <c r="G245" s="9">
        <v>0.14215327083912374</v>
      </c>
      <c r="H245" s="18">
        <f>E245+F245</f>
        <v>1754034101</v>
      </c>
      <c r="I245" s="4">
        <f>H245/C245</f>
        <v>44974.080177431351</v>
      </c>
      <c r="J245" s="8">
        <f>LN(I245)</f>
        <v>10.71384160674592</v>
      </c>
      <c r="K245" s="8">
        <f>LN(C245)</f>
        <v>10.571342565808699</v>
      </c>
      <c r="L245" s="8">
        <f>LN(D245)</f>
        <v>11.525031885631938</v>
      </c>
    </row>
    <row r="246" spans="1:12" x14ac:dyDescent="0.3">
      <c r="A246">
        <v>1773391</v>
      </c>
      <c r="B246" t="s">
        <v>254</v>
      </c>
      <c r="C246">
        <v>9240</v>
      </c>
      <c r="D246">
        <v>121207</v>
      </c>
      <c r="E246">
        <v>169582428</v>
      </c>
      <c r="F246">
        <v>393292381</v>
      </c>
      <c r="G246" s="9">
        <v>0</v>
      </c>
      <c r="H246" s="18">
        <f>E246+F246</f>
        <v>562874809</v>
      </c>
      <c r="I246" s="4">
        <f>H246/C246</f>
        <v>60917.187121212119</v>
      </c>
      <c r="J246" s="8">
        <f>LN(I246)</f>
        <v>11.017270632620887</v>
      </c>
      <c r="K246" s="8">
        <f>LN(C246)</f>
        <v>9.131297164635729</v>
      </c>
      <c r="L246" s="8">
        <f>LN(D246)</f>
        <v>11.705255106725128</v>
      </c>
    </row>
    <row r="247" spans="1:12" x14ac:dyDescent="0.3">
      <c r="A247">
        <v>1773638</v>
      </c>
      <c r="B247" t="s">
        <v>255</v>
      </c>
      <c r="C247">
        <v>10846</v>
      </c>
      <c r="D247">
        <v>61863</v>
      </c>
      <c r="E247">
        <v>151737147</v>
      </c>
      <c r="F247">
        <v>226100815</v>
      </c>
      <c r="G247" s="9">
        <v>0</v>
      </c>
      <c r="H247" s="18">
        <f>E247+F247</f>
        <v>377837962</v>
      </c>
      <c r="I247" s="4">
        <f>H247/C247</f>
        <v>34836.61829245805</v>
      </c>
      <c r="J247" s="8">
        <f>LN(I247)</f>
        <v>10.458424362319095</v>
      </c>
      <c r="K247" s="8">
        <f>LN(C247)</f>
        <v>9.2915516274010059</v>
      </c>
      <c r="L247" s="8">
        <f>LN(D247)</f>
        <v>11.032677541668376</v>
      </c>
    </row>
    <row r="248" spans="1:12" x14ac:dyDescent="0.3">
      <c r="A248">
        <v>1774275</v>
      </c>
      <c r="B248" t="s">
        <v>256</v>
      </c>
      <c r="C248">
        <v>132</v>
      </c>
      <c r="D248">
        <v>103542</v>
      </c>
      <c r="E248">
        <v>10794274</v>
      </c>
      <c r="F248">
        <v>1984449</v>
      </c>
      <c r="G248" s="9">
        <v>0</v>
      </c>
      <c r="H248" s="18">
        <f>E248+F248</f>
        <v>12778723</v>
      </c>
      <c r="I248" s="4">
        <f>H248/C248</f>
        <v>96808.507575757569</v>
      </c>
      <c r="J248" s="8">
        <f>LN(I248)</f>
        <v>11.480490157582043</v>
      </c>
      <c r="K248" s="8">
        <f>LN(C248)</f>
        <v>4.8828019225863706</v>
      </c>
      <c r="L248" s="8">
        <f>LN(D248)</f>
        <v>11.547732606475634</v>
      </c>
    </row>
    <row r="249" spans="1:12" x14ac:dyDescent="0.3">
      <c r="A249">
        <v>1775081</v>
      </c>
      <c r="B249" t="s">
        <v>257</v>
      </c>
      <c r="C249">
        <v>1137</v>
      </c>
      <c r="D249">
        <v>150139</v>
      </c>
      <c r="E249">
        <v>39857144</v>
      </c>
      <c r="F249">
        <v>50013707</v>
      </c>
      <c r="G249" s="9">
        <v>0</v>
      </c>
      <c r="H249" s="18">
        <f>E249+F249</f>
        <v>89870851</v>
      </c>
      <c r="I249" s="4">
        <f>H249/C249</f>
        <v>79042.085312225157</v>
      </c>
      <c r="J249" s="8">
        <f>LN(I249)</f>
        <v>11.277735715072524</v>
      </c>
      <c r="K249" s="8">
        <f>LN(C249)</f>
        <v>7.0361484937505363</v>
      </c>
      <c r="L249" s="8">
        <f>LN(D249)</f>
        <v>11.919316810654566</v>
      </c>
    </row>
    <row r="250" spans="1:12" x14ac:dyDescent="0.3">
      <c r="A250">
        <v>1775185</v>
      </c>
      <c r="B250" t="s">
        <v>258</v>
      </c>
      <c r="C250">
        <v>1940</v>
      </c>
      <c r="D250">
        <v>59647</v>
      </c>
      <c r="E250">
        <v>32492483</v>
      </c>
      <c r="F250">
        <v>70641217</v>
      </c>
      <c r="G250" s="9">
        <v>0</v>
      </c>
      <c r="H250" s="18">
        <f>E250+F250</f>
        <v>103133700</v>
      </c>
      <c r="I250" s="4">
        <f>H250/C250</f>
        <v>53161.701030927834</v>
      </c>
      <c r="J250" s="8">
        <f>LN(I250)</f>
        <v>10.881093510639698</v>
      </c>
      <c r="K250" s="8">
        <f>LN(C250)</f>
        <v>7.5704432520573741</v>
      </c>
      <c r="L250" s="8">
        <f>LN(D250)</f>
        <v>10.99619913288327</v>
      </c>
    </row>
    <row r="251" spans="1:12" x14ac:dyDescent="0.3">
      <c r="A251">
        <v>1775484</v>
      </c>
      <c r="B251" t="s">
        <v>259</v>
      </c>
      <c r="C251">
        <v>54842</v>
      </c>
      <c r="D251">
        <v>105189</v>
      </c>
      <c r="E251">
        <v>1722014305</v>
      </c>
      <c r="F251">
        <v>2013677093</v>
      </c>
      <c r="G251" s="9">
        <v>9.1672473245073341E-2</v>
      </c>
      <c r="H251" s="18">
        <f>E251+F251</f>
        <v>3735691398</v>
      </c>
      <c r="I251" s="4">
        <f>H251/C251</f>
        <v>68117.344334634035</v>
      </c>
      <c r="J251" s="8">
        <f>LN(I251)</f>
        <v>11.12898714891149</v>
      </c>
      <c r="K251" s="8">
        <f>LN(C251)</f>
        <v>10.912211602741371</v>
      </c>
      <c r="L251" s="8">
        <f>LN(D251)</f>
        <v>11.56351401108104</v>
      </c>
    </row>
    <row r="252" spans="1:12" x14ac:dyDescent="0.3">
      <c r="A252">
        <v>1775874</v>
      </c>
      <c r="B252" t="s">
        <v>260</v>
      </c>
      <c r="C252">
        <v>1106</v>
      </c>
      <c r="D252">
        <v>154167</v>
      </c>
      <c r="E252">
        <v>3622009</v>
      </c>
      <c r="F252">
        <v>67345778</v>
      </c>
      <c r="G252" s="9">
        <v>0</v>
      </c>
      <c r="H252" s="18">
        <f>E252+F252</f>
        <v>70967787</v>
      </c>
      <c r="I252" s="4">
        <f>H252/C252</f>
        <v>64166.172694394212</v>
      </c>
      <c r="J252" s="8">
        <f>LN(I252)</f>
        <v>11.069231445743053</v>
      </c>
      <c r="K252" s="8">
        <f>LN(C252)</f>
        <v>7.0085051820822803</v>
      </c>
      <c r="L252" s="8">
        <f>LN(D252)</f>
        <v>11.945791709426333</v>
      </c>
    </row>
    <row r="253" spans="1:12" x14ac:dyDescent="0.3">
      <c r="A253">
        <v>1776160</v>
      </c>
      <c r="B253" t="s">
        <v>261</v>
      </c>
      <c r="C253">
        <v>574</v>
      </c>
      <c r="D253">
        <v>217292</v>
      </c>
      <c r="E253">
        <v>1692430</v>
      </c>
      <c r="F253">
        <v>26864571</v>
      </c>
      <c r="G253" s="9">
        <v>0</v>
      </c>
      <c r="H253" s="18">
        <f>E253+F253</f>
        <v>28557001</v>
      </c>
      <c r="I253" s="4">
        <f>H253/C253</f>
        <v>49750.872822299651</v>
      </c>
      <c r="J253" s="8">
        <f>LN(I253)</f>
        <v>10.814783286599669</v>
      </c>
      <c r="K253" s="8">
        <f>LN(C253)</f>
        <v>6.3526293963195668</v>
      </c>
      <c r="L253" s="8">
        <f>LN(D253)</f>
        <v>12.288997350104321</v>
      </c>
    </row>
    <row r="254" spans="1:12" x14ac:dyDescent="0.3">
      <c r="A254">
        <v>1776706</v>
      </c>
      <c r="B254" t="s">
        <v>262</v>
      </c>
      <c r="C254">
        <v>624</v>
      </c>
      <c r="D254">
        <v>89844</v>
      </c>
      <c r="E254">
        <v>11939233</v>
      </c>
      <c r="F254">
        <v>24751800</v>
      </c>
      <c r="G254" s="9">
        <v>0</v>
      </c>
      <c r="H254" s="18">
        <f>E254+F254</f>
        <v>36691033</v>
      </c>
      <c r="I254" s="4">
        <f>H254/C254</f>
        <v>58799.732371794875</v>
      </c>
      <c r="J254" s="8">
        <f>LN(I254)</f>
        <v>10.981892582376274</v>
      </c>
      <c r="K254" s="8">
        <f>LN(C254)</f>
        <v>6.4361503683694279</v>
      </c>
      <c r="L254" s="8">
        <f>LN(D254)</f>
        <v>11.405830112018686</v>
      </c>
    </row>
    <row r="255" spans="1:12" x14ac:dyDescent="0.3">
      <c r="A255">
        <v>1776935</v>
      </c>
      <c r="B255" t="s">
        <v>263</v>
      </c>
      <c r="C255">
        <v>7306</v>
      </c>
      <c r="D255">
        <v>73844</v>
      </c>
      <c r="E255">
        <v>398870066</v>
      </c>
      <c r="F255">
        <v>161495345</v>
      </c>
      <c r="G255" s="9">
        <v>0.40461861441567532</v>
      </c>
      <c r="H255" s="18">
        <f>E255+F255</f>
        <v>560365411</v>
      </c>
      <c r="I255" s="4">
        <f>H255/C255</f>
        <v>76699.344511360527</v>
      </c>
      <c r="J255" s="8">
        <f>LN(I255)</f>
        <v>11.24764844118272</v>
      </c>
      <c r="K255" s="8">
        <f>LN(C255)</f>
        <v>8.8964512073552271</v>
      </c>
      <c r="L255" s="8">
        <f>LN(D255)</f>
        <v>11.20971003889046</v>
      </c>
    </row>
    <row r="256" spans="1:12" x14ac:dyDescent="0.3">
      <c r="A256">
        <v>1777694</v>
      </c>
      <c r="B256" t="s">
        <v>264</v>
      </c>
      <c r="C256">
        <v>26876</v>
      </c>
      <c r="D256">
        <v>121943</v>
      </c>
      <c r="E256">
        <v>1828977176</v>
      </c>
      <c r="F256">
        <v>1387614257</v>
      </c>
      <c r="G256" s="9">
        <v>0</v>
      </c>
      <c r="H256" s="18">
        <f>E256+F256</f>
        <v>3216591433</v>
      </c>
      <c r="I256" s="4">
        <f>H256/C256</f>
        <v>119682.66977972913</v>
      </c>
      <c r="J256" s="8">
        <f>LN(I256)</f>
        <v>11.692599100610972</v>
      </c>
      <c r="K256" s="8">
        <f>LN(C256)</f>
        <v>10.198988974040041</v>
      </c>
      <c r="L256" s="8">
        <f>LN(D256)</f>
        <v>11.711309001422585</v>
      </c>
    </row>
    <row r="257" spans="1:12" x14ac:dyDescent="0.3">
      <c r="A257">
        <v>1777993</v>
      </c>
      <c r="B257" t="s">
        <v>265</v>
      </c>
      <c r="C257">
        <v>22345</v>
      </c>
      <c r="D257">
        <v>95015</v>
      </c>
      <c r="E257">
        <v>723579082</v>
      </c>
      <c r="F257">
        <v>756281549</v>
      </c>
      <c r="G257" s="9">
        <v>0.21061851502492926</v>
      </c>
      <c r="H257" s="18">
        <f>E257+F257</f>
        <v>1479860631</v>
      </c>
      <c r="I257" s="4">
        <f>H257/C257</f>
        <v>66227.819691206081</v>
      </c>
      <c r="J257" s="8">
        <f>LN(I257)</f>
        <v>11.100855890677533</v>
      </c>
      <c r="K257" s="8">
        <f>LN(C257)</f>
        <v>10.014357861367552</v>
      </c>
      <c r="L257" s="8">
        <f>LN(D257)</f>
        <v>11.461790052855457</v>
      </c>
    </row>
    <row r="258" spans="1:12" x14ac:dyDescent="0.3">
      <c r="A258">
        <v>1778175</v>
      </c>
      <c r="B258" t="s">
        <v>266</v>
      </c>
      <c r="C258">
        <v>312</v>
      </c>
      <c r="D258">
        <v>93542</v>
      </c>
      <c r="E258">
        <v>2609727</v>
      </c>
      <c r="F258">
        <v>10249518</v>
      </c>
      <c r="G258" s="9">
        <v>0</v>
      </c>
      <c r="H258" s="18">
        <f>E258+F258</f>
        <v>12859245</v>
      </c>
      <c r="I258" s="4">
        <f>H258/C258</f>
        <v>41215.528846153844</v>
      </c>
      <c r="J258" s="8">
        <f>LN(I258)</f>
        <v>10.626570378065075</v>
      </c>
      <c r="K258" s="8">
        <f>LN(C258)</f>
        <v>5.7430031878094825</v>
      </c>
      <c r="L258" s="8">
        <f>LN(D258)</f>
        <v>11.446165812278585</v>
      </c>
    </row>
    <row r="259" spans="1:12" x14ac:dyDescent="0.3">
      <c r="A259">
        <v>1778227</v>
      </c>
      <c r="B259" t="s">
        <v>267</v>
      </c>
      <c r="C259">
        <v>6706</v>
      </c>
      <c r="D259">
        <v>160792</v>
      </c>
      <c r="E259">
        <v>144948931</v>
      </c>
      <c r="F259">
        <v>214058689</v>
      </c>
      <c r="G259" s="9">
        <v>0</v>
      </c>
      <c r="H259" s="18">
        <f>E259+F259</f>
        <v>359007620</v>
      </c>
      <c r="I259" s="4">
        <f>H259/C259</f>
        <v>53535.284819564571</v>
      </c>
      <c r="J259" s="8">
        <f>LN(I259)</f>
        <v>10.88809624482786</v>
      </c>
      <c r="K259" s="8">
        <f>LN(C259)</f>
        <v>8.8107579270261738</v>
      </c>
      <c r="L259" s="8">
        <f>LN(D259)</f>
        <v>11.987866883245587</v>
      </c>
    </row>
    <row r="260" spans="1:12" x14ac:dyDescent="0.3">
      <c r="A260">
        <v>1778370</v>
      </c>
      <c r="B260" t="s">
        <v>268</v>
      </c>
      <c r="C260">
        <v>3686</v>
      </c>
      <c r="D260">
        <v>142738</v>
      </c>
      <c r="E260">
        <v>71722904</v>
      </c>
      <c r="F260">
        <v>160870943</v>
      </c>
      <c r="G260" s="9">
        <v>0</v>
      </c>
      <c r="H260" s="18">
        <f>E260+F260</f>
        <v>232593847</v>
      </c>
      <c r="I260" s="4">
        <f>H260/C260</f>
        <v>63101.96608790016</v>
      </c>
      <c r="J260" s="8">
        <f>LN(I260)</f>
        <v>11.052507206330745</v>
      </c>
      <c r="K260" s="8">
        <f>LN(C260)</f>
        <v>8.2122971382297685</v>
      </c>
      <c r="L260" s="8">
        <f>LN(D260)</f>
        <v>11.868766060937475</v>
      </c>
    </row>
    <row r="261" spans="1:12" x14ac:dyDescent="0.3">
      <c r="A261">
        <v>1778929</v>
      </c>
      <c r="B261" t="s">
        <v>269</v>
      </c>
      <c r="C261">
        <v>14718</v>
      </c>
      <c r="D261">
        <v>100321</v>
      </c>
      <c r="E261">
        <v>283549393</v>
      </c>
      <c r="F261">
        <v>573719206</v>
      </c>
      <c r="G261" s="9">
        <v>0</v>
      </c>
      <c r="H261" s="18">
        <f>E261+F261</f>
        <v>857268599</v>
      </c>
      <c r="I261" s="4">
        <f>H261/C261</f>
        <v>58246.269805680116</v>
      </c>
      <c r="J261" s="8">
        <f>LN(I261)</f>
        <v>10.97243533170672</v>
      </c>
      <c r="K261" s="8">
        <f>LN(C261)</f>
        <v>9.596826513486544</v>
      </c>
      <c r="L261" s="8">
        <f>LN(D261)</f>
        <v>11.516130323919139</v>
      </c>
    </row>
    <row r="262" spans="1:12" x14ac:dyDescent="0.3">
      <c r="A262">
        <v>1779267</v>
      </c>
      <c r="B262" t="s">
        <v>270</v>
      </c>
      <c r="C262">
        <v>14027</v>
      </c>
      <c r="D262">
        <v>111239</v>
      </c>
      <c r="E262">
        <v>294255627</v>
      </c>
      <c r="F262">
        <v>470942002</v>
      </c>
      <c r="G262" s="9">
        <v>0</v>
      </c>
      <c r="H262" s="18">
        <f>E262+F262</f>
        <v>765197629</v>
      </c>
      <c r="I262" s="4">
        <f>H262/C262</f>
        <v>54551.766521708138</v>
      </c>
      <c r="J262" s="8">
        <f>LN(I262)</f>
        <v>10.90690537426957</v>
      </c>
      <c r="K262" s="8">
        <f>LN(C262)</f>
        <v>9.5487393227196709</v>
      </c>
      <c r="L262" s="8">
        <f>LN(D262)</f>
        <v>11.619436318735398</v>
      </c>
    </row>
    <row r="263" spans="1:12" x14ac:dyDescent="0.3">
      <c r="A263">
        <v>1779293</v>
      </c>
      <c r="B263" t="s">
        <v>271</v>
      </c>
      <c r="C263">
        <v>89076</v>
      </c>
      <c r="D263">
        <v>71919</v>
      </c>
      <c r="E263">
        <v>1411260005</v>
      </c>
      <c r="F263">
        <v>1623202327</v>
      </c>
      <c r="G263" s="9">
        <v>0.54947884596007657</v>
      </c>
      <c r="H263" s="18">
        <f>E263+F263</f>
        <v>3034462332</v>
      </c>
      <c r="I263" s="4">
        <f>H263/C263</f>
        <v>34065.992321163947</v>
      </c>
      <c r="J263" s="8">
        <f>LN(I263)</f>
        <v>10.43605487300994</v>
      </c>
      <c r="K263" s="8">
        <f>LN(C263)</f>
        <v>11.397245216905548</v>
      </c>
      <c r="L263" s="8">
        <f>LN(D263)</f>
        <v>11.183295764710682</v>
      </c>
    </row>
    <row r="264" spans="1:12" x14ac:dyDescent="0.3">
      <c r="A264">
        <v>1779397</v>
      </c>
      <c r="B264" t="s">
        <v>272</v>
      </c>
      <c r="C264">
        <v>2562</v>
      </c>
      <c r="D264">
        <v>161719</v>
      </c>
      <c r="E264">
        <v>13135747</v>
      </c>
      <c r="F264">
        <v>175109937</v>
      </c>
      <c r="G264" s="9">
        <v>0</v>
      </c>
      <c r="H264" s="18">
        <f>E264+F264</f>
        <v>188245684</v>
      </c>
      <c r="I264" s="4">
        <f>H264/C264</f>
        <v>73476.067135050747</v>
      </c>
      <c r="J264" s="8">
        <f>LN(I264)</f>
        <v>11.20471501496594</v>
      </c>
      <c r="K264" s="8">
        <f>LN(C264)</f>
        <v>7.8485434824566793</v>
      </c>
      <c r="L264" s="8">
        <f>LN(D264)</f>
        <v>11.993615540208506</v>
      </c>
    </row>
    <row r="265" spans="1:12" x14ac:dyDescent="0.3">
      <c r="A265">
        <v>1780060</v>
      </c>
      <c r="B265" t="s">
        <v>273</v>
      </c>
      <c r="C265">
        <v>25395</v>
      </c>
      <c r="D265">
        <v>99927</v>
      </c>
      <c r="E265">
        <v>532922122</v>
      </c>
      <c r="F265">
        <v>960829476</v>
      </c>
      <c r="G265" s="9">
        <v>0.14054813773717498</v>
      </c>
      <c r="H265" s="18">
        <f>E265+F265</f>
        <v>1493751598</v>
      </c>
      <c r="I265" s="4">
        <f>H265/C265</f>
        <v>58820.69690884032</v>
      </c>
      <c r="J265" s="8">
        <f>LN(I265)</f>
        <v>10.982249060198972</v>
      </c>
      <c r="K265" s="8">
        <f>LN(C265)</f>
        <v>10.142307583235345</v>
      </c>
      <c r="L265" s="8">
        <f>LN(D265)</f>
        <v>11.512195198390485</v>
      </c>
    </row>
    <row r="266" spans="1:12" x14ac:dyDescent="0.3">
      <c r="A266">
        <v>1780125</v>
      </c>
      <c r="B266" t="s">
        <v>274</v>
      </c>
      <c r="C266">
        <v>7906</v>
      </c>
      <c r="D266">
        <v>105368</v>
      </c>
      <c r="E266">
        <v>157570030</v>
      </c>
      <c r="F266">
        <v>339262841</v>
      </c>
      <c r="G266" s="9">
        <v>0</v>
      </c>
      <c r="H266" s="18">
        <f>E266+F266</f>
        <v>496832871</v>
      </c>
      <c r="I266" s="4">
        <f>H266/C266</f>
        <v>62842.508348090058</v>
      </c>
      <c r="J266" s="8">
        <f>LN(I266)</f>
        <v>11.048387007997013</v>
      </c>
      <c r="K266" s="8">
        <f>LN(C266)</f>
        <v>8.9753772438566308</v>
      </c>
      <c r="L266" s="8">
        <f>LN(D266)</f>
        <v>11.565214263678882</v>
      </c>
    </row>
    <row r="267" spans="1:12" x14ac:dyDescent="0.3">
      <c r="A267">
        <v>1780047</v>
      </c>
      <c r="B267" t="s">
        <v>275</v>
      </c>
      <c r="C267">
        <v>16436</v>
      </c>
      <c r="D267">
        <v>98954</v>
      </c>
      <c r="E267">
        <v>201652582</v>
      </c>
      <c r="F267">
        <v>666138214</v>
      </c>
      <c r="G267" s="9">
        <v>0.13793511721524981</v>
      </c>
      <c r="H267" s="18">
        <f>E267+F267</f>
        <v>867790796</v>
      </c>
      <c r="I267" s="4">
        <f>H267/C267</f>
        <v>52798.17449501095</v>
      </c>
      <c r="J267" s="8">
        <f>LN(I267)</f>
        <v>10.874231895138534</v>
      </c>
      <c r="K267" s="8">
        <f>LN(C267)</f>
        <v>9.707229330003301</v>
      </c>
      <c r="L267" s="8">
        <f>LN(D267)</f>
        <v>11.502410374670461</v>
      </c>
    </row>
    <row r="268" spans="1:12" x14ac:dyDescent="0.3">
      <c r="A268">
        <v>1780242</v>
      </c>
      <c r="B268" t="s">
        <v>276</v>
      </c>
      <c r="C268">
        <v>13446</v>
      </c>
      <c r="D268">
        <v>230255</v>
      </c>
      <c r="E268">
        <v>169011494</v>
      </c>
      <c r="F268">
        <v>1009306112</v>
      </c>
      <c r="G268" s="9">
        <v>0</v>
      </c>
      <c r="H268" s="18">
        <f>E268+F268</f>
        <v>1178317606</v>
      </c>
      <c r="I268" s="4">
        <f>H268/C268</f>
        <v>87633.318905250635</v>
      </c>
      <c r="J268" s="8">
        <f>LN(I268)</f>
        <v>11.380916557408359</v>
      </c>
      <c r="K268" s="8">
        <f>LN(C268)</f>
        <v>9.5064369430289819</v>
      </c>
      <c r="L268" s="8">
        <f>LN(D268)</f>
        <v>12.346942669408376</v>
      </c>
    </row>
    <row r="269" spans="1:12" x14ac:dyDescent="0.3">
      <c r="A269">
        <v>1780645</v>
      </c>
      <c r="B269" t="s">
        <v>277</v>
      </c>
      <c r="C269">
        <v>23724</v>
      </c>
      <c r="D269">
        <v>88090</v>
      </c>
      <c r="E269">
        <v>1161165587</v>
      </c>
      <c r="F269">
        <v>1031638079</v>
      </c>
      <c r="G269" s="9">
        <v>0</v>
      </c>
      <c r="H269" s="18">
        <f>E269+F269</f>
        <v>2192803666</v>
      </c>
      <c r="I269" s="4">
        <f>H269/C269</f>
        <v>92429.761675939983</v>
      </c>
      <c r="J269" s="8">
        <f>LN(I269)</f>
        <v>11.434204301827933</v>
      </c>
      <c r="K269" s="8">
        <f>LN(C269)</f>
        <v>10.074242472958618</v>
      </c>
      <c r="L269" s="8">
        <f>LN(D269)</f>
        <v>11.386114298103841</v>
      </c>
    </row>
    <row r="270" spans="1:12" x14ac:dyDescent="0.3">
      <c r="A270">
        <v>1781048</v>
      </c>
      <c r="B270" t="s">
        <v>278</v>
      </c>
      <c r="C270">
        <v>53557</v>
      </c>
      <c r="D270">
        <v>120008</v>
      </c>
      <c r="E270">
        <v>875241775</v>
      </c>
      <c r="F270">
        <v>2582824052</v>
      </c>
      <c r="G270" s="9">
        <v>0</v>
      </c>
      <c r="H270" s="18">
        <f>E270+F270</f>
        <v>3458065827</v>
      </c>
      <c r="I270" s="4">
        <f>H270/C270</f>
        <v>64567.952405847973</v>
      </c>
      <c r="J270" s="8">
        <f>LN(I270)</f>
        <v>11.075473473887222</v>
      </c>
      <c r="K270" s="8">
        <f>LN(C270)</f>
        <v>10.888501786287165</v>
      </c>
      <c r="L270" s="8">
        <f>LN(D270)</f>
        <v>11.695313686208726</v>
      </c>
    </row>
    <row r="271" spans="1:12" x14ac:dyDescent="0.3">
      <c r="A271">
        <v>1781087</v>
      </c>
      <c r="B271" t="s">
        <v>279</v>
      </c>
      <c r="C271">
        <v>38433</v>
      </c>
      <c r="D271">
        <v>85205</v>
      </c>
      <c r="E271">
        <v>709425054</v>
      </c>
      <c r="F271">
        <v>1308243839</v>
      </c>
      <c r="G271" s="9">
        <v>7.2923320642869924E-2</v>
      </c>
      <c r="H271" s="18">
        <f>E271+F271</f>
        <v>2017668893</v>
      </c>
      <c r="I271" s="4">
        <f>H271/C271</f>
        <v>52498.344989982565</v>
      </c>
      <c r="J271" s="8">
        <f>LN(I271)</f>
        <v>10.868536924082491</v>
      </c>
      <c r="K271" s="8">
        <f>LN(C271)</f>
        <v>10.556671744524543</v>
      </c>
      <c r="L271" s="8">
        <f>LN(D271)</f>
        <v>11.352815396541493</v>
      </c>
    </row>
    <row r="272" spans="1:12" x14ac:dyDescent="0.3">
      <c r="A272">
        <v>1782049</v>
      </c>
      <c r="B272" t="s">
        <v>280</v>
      </c>
      <c r="C272">
        <v>5868</v>
      </c>
      <c r="D272">
        <v>103583</v>
      </c>
      <c r="E272">
        <v>51605628</v>
      </c>
      <c r="F272">
        <v>267658511</v>
      </c>
      <c r="G272" s="9">
        <v>0</v>
      </c>
      <c r="H272" s="18">
        <f>E272+F272</f>
        <v>319264139</v>
      </c>
      <c r="I272" s="4">
        <f>H272/C272</f>
        <v>54407.658316291752</v>
      </c>
      <c r="J272" s="8">
        <f>LN(I272)</f>
        <v>10.904260200808769</v>
      </c>
      <c r="K272" s="8">
        <f>LN(C272)</f>
        <v>8.6772691392628722</v>
      </c>
      <c r="L272" s="8">
        <f>LN(D272)</f>
        <v>11.548128502678752</v>
      </c>
    </row>
    <row r="273" spans="1:12" x14ac:dyDescent="0.3">
      <c r="A273">
        <v>1781919</v>
      </c>
      <c r="B273" t="s">
        <v>281</v>
      </c>
      <c r="C273">
        <v>9131</v>
      </c>
      <c r="D273">
        <v>99239</v>
      </c>
      <c r="E273">
        <v>565102240</v>
      </c>
      <c r="F273">
        <v>537179170</v>
      </c>
      <c r="G273" s="9">
        <v>0</v>
      </c>
      <c r="H273" s="18">
        <f>E273+F273</f>
        <v>1102281410</v>
      </c>
      <c r="I273" s="4">
        <f>H273/C273</f>
        <v>120718.58613514401</v>
      </c>
      <c r="J273" s="8">
        <f>LN(I273)</f>
        <v>11.701217381437624</v>
      </c>
      <c r="K273" s="8">
        <f>LN(C273)</f>
        <v>9.1194304966163404</v>
      </c>
      <c r="L273" s="8">
        <f>LN(D273)</f>
        <v>11.505286361172946</v>
      </c>
    </row>
    <row r="274" spans="1:12" x14ac:dyDescent="0.3">
      <c r="A274">
        <v>1782075</v>
      </c>
      <c r="B274" t="s">
        <v>282</v>
      </c>
      <c r="C274">
        <v>27503</v>
      </c>
      <c r="D274">
        <v>190662</v>
      </c>
      <c r="E274">
        <v>408564629</v>
      </c>
      <c r="F274">
        <v>2414561448</v>
      </c>
      <c r="G274" s="9">
        <v>0</v>
      </c>
      <c r="H274" s="18">
        <f>E274+F274</f>
        <v>2823126077</v>
      </c>
      <c r="I274" s="4">
        <f>H274/C274</f>
        <v>102647.93211649638</v>
      </c>
      <c r="J274" s="8">
        <f>LN(I274)</f>
        <v>11.539060277251437</v>
      </c>
      <c r="K274" s="8">
        <f>LN(C274)</f>
        <v>10.222050368613774</v>
      </c>
      <c r="L274" s="8">
        <f>LN(D274)</f>
        <v>12.15825750586982</v>
      </c>
    </row>
    <row r="275" spans="1:12" x14ac:dyDescent="0.3">
      <c r="A275">
        <v>1782101</v>
      </c>
      <c r="B275" t="s">
        <v>283</v>
      </c>
      <c r="C275">
        <v>5494</v>
      </c>
      <c r="D275">
        <v>66154</v>
      </c>
      <c r="E275">
        <v>159693853</v>
      </c>
      <c r="F275">
        <v>164331239</v>
      </c>
      <c r="G275" s="9">
        <v>0</v>
      </c>
      <c r="H275" s="18">
        <f>E275+F275</f>
        <v>324025092</v>
      </c>
      <c r="I275" s="4">
        <f>H275/C275</f>
        <v>58977.992719330177</v>
      </c>
      <c r="J275" s="8">
        <f>LN(I275)</f>
        <v>10.984919648547162</v>
      </c>
      <c r="K275" s="8">
        <f>LN(C275)</f>
        <v>8.6114118666552191</v>
      </c>
      <c r="L275" s="8">
        <f>LN(D275)</f>
        <v>11.099740636346844</v>
      </c>
    </row>
    <row r="276" spans="1:12" x14ac:dyDescent="0.3">
      <c r="A276">
        <v>1782400</v>
      </c>
      <c r="B276" t="s">
        <v>284</v>
      </c>
      <c r="C276">
        <v>10095</v>
      </c>
      <c r="D276">
        <v>135795</v>
      </c>
      <c r="E276">
        <v>261227474</v>
      </c>
      <c r="F276">
        <v>457760186</v>
      </c>
      <c r="G276" s="9">
        <v>0</v>
      </c>
      <c r="H276" s="18">
        <f>E276+F276</f>
        <v>718987660</v>
      </c>
      <c r="I276" s="4">
        <f>H276/C276</f>
        <v>71222.155522535904</v>
      </c>
      <c r="J276" s="8">
        <f>LN(I276)</f>
        <v>11.173559222065093</v>
      </c>
      <c r="K276" s="8">
        <f>LN(C276)</f>
        <v>9.2197955307469375</v>
      </c>
      <c r="L276" s="8">
        <f>LN(D276)</f>
        <v>11.818901674577651</v>
      </c>
    </row>
    <row r="277" spans="1:12" x14ac:dyDescent="0.3">
      <c r="A277">
        <v>1782530</v>
      </c>
      <c r="B277" t="s">
        <v>285</v>
      </c>
      <c r="C277">
        <v>12484</v>
      </c>
      <c r="D277">
        <v>250001</v>
      </c>
      <c r="E277">
        <v>226285255</v>
      </c>
      <c r="F277">
        <v>1771059940</v>
      </c>
      <c r="G277" s="9">
        <v>0</v>
      </c>
      <c r="H277" s="18">
        <f>E277+F277</f>
        <v>1997345195</v>
      </c>
      <c r="I277" s="4">
        <f>H277/C277</f>
        <v>159992.40587952579</v>
      </c>
      <c r="J277" s="8">
        <f>LN(I277)</f>
        <v>11.982881629836584</v>
      </c>
      <c r="K277" s="8">
        <f>LN(C277)</f>
        <v>9.4322031033906697</v>
      </c>
      <c r="L277" s="8">
        <f>LN(D277)</f>
        <v>12.429220196836383</v>
      </c>
    </row>
    <row r="278" spans="1:12" x14ac:dyDescent="0.3">
      <c r="A278">
        <v>1782686</v>
      </c>
      <c r="B278" t="s">
        <v>286</v>
      </c>
      <c r="C278">
        <v>6559</v>
      </c>
      <c r="D278">
        <v>95690</v>
      </c>
      <c r="E278">
        <v>52619654</v>
      </c>
      <c r="F278">
        <v>161836409</v>
      </c>
      <c r="G278" s="9">
        <v>0.44310216256524981</v>
      </c>
      <c r="H278" s="18">
        <f>E278+F278</f>
        <v>214456063</v>
      </c>
      <c r="I278" s="4">
        <f>H278/C278</f>
        <v>32696.457234334503</v>
      </c>
      <c r="J278" s="8">
        <f>LN(I278)</f>
        <v>10.395022009558325</v>
      </c>
      <c r="K278" s="8">
        <f>LN(C278)</f>
        <v>8.7885934312937355</v>
      </c>
      <c r="L278" s="8">
        <f>LN(D278)</f>
        <v>11.468869078773309</v>
      </c>
    </row>
    <row r="279" spans="1:12" x14ac:dyDescent="0.3">
      <c r="A279">
        <v>1782855</v>
      </c>
      <c r="B279" t="s">
        <v>287</v>
      </c>
      <c r="C279">
        <v>4292</v>
      </c>
      <c r="D279">
        <v>94655</v>
      </c>
      <c r="E279">
        <v>23508120</v>
      </c>
      <c r="F279">
        <v>151969807</v>
      </c>
      <c r="G279" s="9">
        <v>0</v>
      </c>
      <c r="H279" s="18">
        <f>E279+F279</f>
        <v>175477927</v>
      </c>
      <c r="I279" s="4">
        <f>H279/C279</f>
        <v>40884.885135135133</v>
      </c>
      <c r="J279" s="8">
        <f>LN(I279)</f>
        <v>10.618515717129862</v>
      </c>
      <c r="K279" s="8">
        <f>LN(C279)</f>
        <v>8.3645081037505893</v>
      </c>
      <c r="L279" s="8">
        <f>LN(D279)</f>
        <v>11.457993981444011</v>
      </c>
    </row>
    <row r="280" spans="1:12" x14ac:dyDescent="0.3">
      <c r="A280">
        <v>1782985</v>
      </c>
      <c r="B280" t="s">
        <v>288</v>
      </c>
      <c r="C280">
        <v>13933</v>
      </c>
      <c r="D280">
        <v>91382</v>
      </c>
      <c r="E280">
        <v>429666608</v>
      </c>
      <c r="F280">
        <v>700653204</v>
      </c>
      <c r="G280" s="9">
        <v>0</v>
      </c>
      <c r="H280" s="18">
        <f>E280+F280</f>
        <v>1130319812</v>
      </c>
      <c r="I280" s="4">
        <f>H280/C280</f>
        <v>81125.372281633536</v>
      </c>
      <c r="J280" s="8">
        <f>LN(I280)</f>
        <v>11.30375104298364</v>
      </c>
      <c r="K280" s="8">
        <f>LN(C280)</f>
        <v>9.5420154061135918</v>
      </c>
      <c r="L280" s="8">
        <f>LN(D280)</f>
        <v>11.422803801505024</v>
      </c>
    </row>
    <row r="281" spans="1:12" x14ac:dyDescent="0.3">
      <c r="A281">
        <v>1783245</v>
      </c>
      <c r="B281" t="s">
        <v>289</v>
      </c>
      <c r="C281">
        <v>33941</v>
      </c>
      <c r="D281">
        <v>101000</v>
      </c>
      <c r="E281">
        <v>748167913</v>
      </c>
      <c r="F281">
        <v>1502779306</v>
      </c>
      <c r="G281" s="9">
        <v>0</v>
      </c>
      <c r="H281" s="18">
        <f>E281+F281</f>
        <v>2250947219</v>
      </c>
      <c r="I281" s="4">
        <f>H281/C281</f>
        <v>66319.413658996491</v>
      </c>
      <c r="J281" s="8">
        <f>LN(I281)</f>
        <v>11.102237948681379</v>
      </c>
      <c r="K281" s="8">
        <f>LN(C281)</f>
        <v>10.432379002113745</v>
      </c>
      <c r="L281" s="8">
        <f>LN(D281)</f>
        <v>11.522875795823397</v>
      </c>
    </row>
    <row r="282" spans="1:12" x14ac:dyDescent="0.3">
      <c r="A282">
        <v>1783349</v>
      </c>
      <c r="B282" t="s">
        <v>290</v>
      </c>
      <c r="C282">
        <v>26147</v>
      </c>
      <c r="D282">
        <v>82758</v>
      </c>
      <c r="E282">
        <v>592837135</v>
      </c>
      <c r="F282">
        <v>682894303</v>
      </c>
      <c r="G282" s="9">
        <v>0.18306671868903629</v>
      </c>
      <c r="H282" s="18">
        <f>E282+F282</f>
        <v>1275731438</v>
      </c>
      <c r="I282" s="4">
        <f>H282/C282</f>
        <v>48790.738440356443</v>
      </c>
      <c r="J282" s="8">
        <f>LN(I282)</f>
        <v>10.795295787771316</v>
      </c>
      <c r="K282" s="8">
        <f>LN(C282)</f>
        <v>10.171489740158565</v>
      </c>
      <c r="L282" s="8">
        <f>LN(D282)</f>
        <v>11.323675965303575</v>
      </c>
    </row>
    <row r="283" spans="1:12" x14ac:dyDescent="0.3">
      <c r="A283">
        <v>1783518</v>
      </c>
      <c r="B283" t="s">
        <v>291</v>
      </c>
      <c r="C283">
        <v>10700</v>
      </c>
      <c r="D283">
        <v>56288</v>
      </c>
      <c r="E283">
        <v>147196886</v>
      </c>
      <c r="F283">
        <v>224438728</v>
      </c>
      <c r="G283" s="9">
        <v>0</v>
      </c>
      <c r="H283" s="18">
        <f>E283+F283</f>
        <v>371635614</v>
      </c>
      <c r="I283" s="4">
        <f>H283/C283</f>
        <v>34732.300373831778</v>
      </c>
      <c r="J283" s="8">
        <f>LN(I283)</f>
        <v>10.455425379474125</v>
      </c>
      <c r="K283" s="8">
        <f>LN(C283)</f>
        <v>9.2779990204499967</v>
      </c>
      <c r="L283" s="8">
        <f>LN(D283)</f>
        <v>10.938236647537284</v>
      </c>
    </row>
    <row r="284" spans="1:12" x14ac:dyDescent="0.3">
      <c r="A284">
        <v>1784038</v>
      </c>
      <c r="B284" t="s">
        <v>292</v>
      </c>
      <c r="C284">
        <v>23617</v>
      </c>
      <c r="D284">
        <v>108513</v>
      </c>
      <c r="E284">
        <v>521745360</v>
      </c>
      <c r="F284">
        <v>795084655</v>
      </c>
      <c r="G284" s="9">
        <v>0</v>
      </c>
      <c r="H284" s="18">
        <f>E284+F284</f>
        <v>1316830015</v>
      </c>
      <c r="I284" s="4">
        <f>H284/C284</f>
        <v>55757.717533979761</v>
      </c>
      <c r="J284" s="8">
        <f>LN(I284)</f>
        <v>10.928771110844441</v>
      </c>
      <c r="K284" s="8">
        <f>LN(C284)</f>
        <v>10.069722070677152</v>
      </c>
      <c r="L284" s="8">
        <f>LN(D284)</f>
        <v>11.59462526045353</v>
      </c>
    </row>
    <row r="285" spans="1:12" x14ac:dyDescent="0.3">
      <c r="A285">
        <v>1784220</v>
      </c>
      <c r="B285" t="s">
        <v>293</v>
      </c>
      <c r="C285">
        <v>24600</v>
      </c>
      <c r="D285">
        <v>63104</v>
      </c>
      <c r="E285">
        <v>267505671</v>
      </c>
      <c r="F285">
        <v>428471477</v>
      </c>
      <c r="G285" s="9">
        <v>0.46278645305211924</v>
      </c>
      <c r="H285" s="18">
        <f>E285+F285</f>
        <v>695977148</v>
      </c>
      <c r="I285" s="4">
        <f>H285/C285</f>
        <v>28291.753983739836</v>
      </c>
      <c r="J285" s="8">
        <f>LN(I285)</f>
        <v>10.250325662505881</v>
      </c>
      <c r="K285" s="8">
        <f>LN(C285)</f>
        <v>10.110501721920453</v>
      </c>
      <c r="L285" s="8">
        <f>LN(D285)</f>
        <v>11.052539437962308</v>
      </c>
    </row>
  </sheetData>
  <autoFilter ref="A1:L285" xr:uid="{00000000-0001-0000-0000-000000000000}">
    <sortState xmlns:xlrd2="http://schemas.microsoft.com/office/spreadsheetml/2017/richdata2" ref="A2:L285">
      <sortCondition ref="B1:B285"/>
    </sortState>
  </autoFilter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8"/>
  <sheetViews>
    <sheetView workbookViewId="0">
      <selection activeCell="P16" sqref="P16"/>
    </sheetView>
  </sheetViews>
  <sheetFormatPr defaultColWidth="8.6640625" defaultRowHeight="14.4" x14ac:dyDescent="0.3"/>
  <cols>
    <col min="1" max="1" width="10" bestFit="1" customWidth="1"/>
    <col min="2" max="2" width="21.6640625" style="13" bestFit="1" customWidth="1"/>
    <col min="3" max="3" width="12.6640625" style="2" bestFit="1" customWidth="1"/>
    <col min="4" max="4" width="13.6640625" style="15" bestFit="1" customWidth="1"/>
    <col min="5" max="5" width="17.44140625" style="16" bestFit="1" customWidth="1"/>
    <col min="6" max="6" width="13.6640625" style="16" customWidth="1"/>
    <col min="7" max="7" width="19" style="22" bestFit="1" customWidth="1"/>
    <col min="8" max="8" width="21.6640625" style="8" bestFit="1" customWidth="1"/>
    <col min="9" max="9" width="9.109375" style="8"/>
    <col min="10" max="10" width="15.6640625" style="8" bestFit="1" customWidth="1"/>
  </cols>
  <sheetData>
    <row r="1" spans="1:10" s="5" customFormat="1" x14ac:dyDescent="0.3">
      <c r="A1" s="5" t="s">
        <v>374</v>
      </c>
      <c r="B1" s="14" t="s">
        <v>375</v>
      </c>
      <c r="C1" s="27" t="s">
        <v>3</v>
      </c>
      <c r="D1" s="29" t="s">
        <v>379</v>
      </c>
      <c r="E1" s="25" t="s">
        <v>378</v>
      </c>
      <c r="F1" s="25" t="s">
        <v>377</v>
      </c>
      <c r="G1" s="21" t="s">
        <v>7</v>
      </c>
      <c r="H1" s="7" t="s">
        <v>9</v>
      </c>
      <c r="I1" s="7" t="s">
        <v>8</v>
      </c>
      <c r="J1" s="7" t="s">
        <v>376</v>
      </c>
    </row>
    <row r="2" spans="1:10" x14ac:dyDescent="0.3">
      <c r="A2">
        <v>14</v>
      </c>
      <c r="B2" s="13" t="s">
        <v>298</v>
      </c>
      <c r="C2" s="19">
        <v>86513.02</v>
      </c>
      <c r="D2" s="15">
        <v>0.1205471526572444</v>
      </c>
      <c r="E2">
        <v>3517069214.2389002</v>
      </c>
      <c r="F2">
        <v>45538</v>
      </c>
      <c r="G2" s="22">
        <f>(FACTORS_MUNI!$E$42/FACTORS_MUNI!$C$42)+(E2/SUM(E$2:E$78)*FACTORS_MUNI!$F$42/F2)</f>
        <v>32540.232553912734</v>
      </c>
      <c r="H2" s="8">
        <f t="shared" ref="H2:H33" si="0">LN(G2)</f>
        <v>10.390232527456549</v>
      </c>
      <c r="I2" s="8">
        <f>FACTORS_MUNI!$K$42</f>
        <v>14.812911489078509</v>
      </c>
      <c r="J2" s="8">
        <f t="shared" ref="J2:J33" si="1">LN(C2)</f>
        <v>11.36805020182415</v>
      </c>
    </row>
    <row r="3" spans="1:10" x14ac:dyDescent="0.3">
      <c r="A3">
        <v>57</v>
      </c>
      <c r="B3" s="13" t="s">
        <v>299</v>
      </c>
      <c r="C3" s="19">
        <v>67012.2</v>
      </c>
      <c r="D3" s="15">
        <v>9.270216962524655E-2</v>
      </c>
      <c r="E3">
        <v>995573111.824772</v>
      </c>
      <c r="F3">
        <v>13414</v>
      </c>
      <c r="G3" s="22">
        <f>(FACTORS_MUNI!$E$42/FACTORS_MUNI!$C$42)+(E3/SUM(E$2:E$78)*FACTORS_MUNI!$F$42/F3)</f>
        <v>31867.243063103888</v>
      </c>
      <c r="H3" s="8">
        <f t="shared" si="0"/>
        <v>10.369333897962107</v>
      </c>
      <c r="I3" s="8">
        <f>FACTORS_MUNI!$K$42</f>
        <v>14.812911489078509</v>
      </c>
      <c r="J3" s="8">
        <f t="shared" si="1"/>
        <v>11.112629971349051</v>
      </c>
    </row>
    <row r="4" spans="1:10" x14ac:dyDescent="0.3">
      <c r="A4">
        <v>34</v>
      </c>
      <c r="B4" s="13" t="s">
        <v>300</v>
      </c>
      <c r="C4" s="19">
        <v>45340.34</v>
      </c>
      <c r="D4" s="15">
        <v>0.21713462922966162</v>
      </c>
      <c r="E4">
        <v>1390091360</v>
      </c>
      <c r="F4" s="20">
        <v>13885</v>
      </c>
      <c r="G4" s="22">
        <f>(FACTORS_MUNI!$E$42/FACTORS_MUNI!$C$42)+(E4/SUM(E$2:E$78)*FACTORS_MUNI!$F$42/F4)</f>
        <v>37647.963371196754</v>
      </c>
      <c r="H4" s="8">
        <f t="shared" si="0"/>
        <v>10.536034138038408</v>
      </c>
      <c r="I4" s="8">
        <f>FACTORS_MUNI!$K$42</f>
        <v>14.812911489078509</v>
      </c>
      <c r="J4" s="8">
        <f t="shared" si="1"/>
        <v>10.721952422930624</v>
      </c>
    </row>
    <row r="5" spans="1:10" x14ac:dyDescent="0.3">
      <c r="A5">
        <v>70</v>
      </c>
      <c r="B5" s="13" t="s">
        <v>301</v>
      </c>
      <c r="C5" s="19">
        <v>82235.360000000001</v>
      </c>
      <c r="D5" s="15">
        <v>0.30595162781643875</v>
      </c>
      <c r="E5">
        <v>2615780810.5645399</v>
      </c>
      <c r="F5">
        <v>42007</v>
      </c>
      <c r="G5" s="22">
        <f>(FACTORS_MUNI!$E$42/FACTORS_MUNI!$C$42)+(E5/SUM(E$2:E$78)*FACTORS_MUNI!$F$42/F5)</f>
        <v>29199.887446432942</v>
      </c>
      <c r="H5" s="8">
        <f t="shared" si="0"/>
        <v>10.281920133674729</v>
      </c>
      <c r="I5" s="8">
        <f>FACTORS_MUNI!$K$42</f>
        <v>14.812911489078509</v>
      </c>
      <c r="J5" s="8">
        <f t="shared" si="1"/>
        <v>11.317340658863849</v>
      </c>
    </row>
    <row r="6" spans="1:10" x14ac:dyDescent="0.3">
      <c r="A6">
        <v>71</v>
      </c>
      <c r="B6" s="13" t="s">
        <v>302</v>
      </c>
      <c r="C6" s="19">
        <v>47170.47</v>
      </c>
      <c r="D6" s="15">
        <v>0.59438923303177504</v>
      </c>
      <c r="E6">
        <v>1834998656</v>
      </c>
      <c r="F6">
        <v>43779</v>
      </c>
      <c r="G6" s="22">
        <f>(FACTORS_MUNI!$E$42/FACTORS_MUNI!$C$42)+(E6/SUM(E$2:E$78)*FACTORS_MUNI!$F$42/F6)</f>
        <v>24655.997413273519</v>
      </c>
      <c r="H6" s="8">
        <f t="shared" si="0"/>
        <v>10.112775452647234</v>
      </c>
      <c r="I6" s="8">
        <f>FACTORS_MUNI!$K$42</f>
        <v>14.812911489078509</v>
      </c>
      <c r="J6" s="8">
        <f t="shared" si="1"/>
        <v>10.761523340188811</v>
      </c>
    </row>
    <row r="7" spans="1:10" x14ac:dyDescent="0.3">
      <c r="A7">
        <v>25</v>
      </c>
      <c r="B7" s="13" t="s">
        <v>303</v>
      </c>
      <c r="C7" s="19">
        <v>47532.57</v>
      </c>
      <c r="D7" s="15">
        <v>0.49213417981088892</v>
      </c>
      <c r="E7">
        <v>4682392586.92484</v>
      </c>
      <c r="F7">
        <v>97452</v>
      </c>
      <c r="G7" s="22">
        <f>(FACTORS_MUNI!$E$42/FACTORS_MUNI!$C$42)+(E7/SUM(E$2:E$78)*FACTORS_MUNI!$F$42/F7)</f>
        <v>26025.108803331947</v>
      </c>
      <c r="H7" s="8">
        <f t="shared" si="0"/>
        <v>10.16681707419804</v>
      </c>
      <c r="I7" s="8">
        <f>FACTORS_MUNI!$K$42</f>
        <v>14.812911489078509</v>
      </c>
      <c r="J7" s="8">
        <f t="shared" si="1"/>
        <v>10.769170439259247</v>
      </c>
    </row>
    <row r="8" spans="1:10" x14ac:dyDescent="0.3">
      <c r="A8">
        <v>45</v>
      </c>
      <c r="B8" s="13" t="s">
        <v>304</v>
      </c>
      <c r="C8" s="19">
        <v>57862.6</v>
      </c>
      <c r="D8" s="15">
        <v>0</v>
      </c>
      <c r="E8">
        <v>555002732</v>
      </c>
      <c r="F8" s="20">
        <v>9024</v>
      </c>
      <c r="G8" s="22">
        <f>(FACTORS_MUNI!$E$42/FACTORS_MUNI!$C$42)+(E8/SUM(E$2:E$78)*FACTORS_MUNI!$F$42/F8)</f>
        <v>29028.634468173317</v>
      </c>
      <c r="H8" s="8">
        <f t="shared" si="0"/>
        <v>10.276038017268622</v>
      </c>
      <c r="I8" s="8">
        <f>FACTORS_MUNI!$K$42</f>
        <v>14.812911489078509</v>
      </c>
      <c r="J8" s="8">
        <f t="shared" si="1"/>
        <v>10.965826513573072</v>
      </c>
    </row>
    <row r="9" spans="1:10" x14ac:dyDescent="0.3">
      <c r="A9">
        <v>21</v>
      </c>
      <c r="B9" s="13" t="s">
        <v>305</v>
      </c>
      <c r="C9" s="19">
        <v>93915.78</v>
      </c>
      <c r="D9" s="15">
        <v>0</v>
      </c>
      <c r="E9">
        <v>3871744648.01126</v>
      </c>
      <c r="F9">
        <v>35533</v>
      </c>
      <c r="G9" s="22">
        <f>(FACTORS_MUNI!$E$42/FACTORS_MUNI!$C$42)+(E9/SUM(E$2:E$78)*FACTORS_MUNI!$F$42/F9)</f>
        <v>39622.964695973249</v>
      </c>
      <c r="H9" s="8">
        <f t="shared" si="0"/>
        <v>10.587164145720923</v>
      </c>
      <c r="I9" s="8">
        <f>FACTORS_MUNI!$K$42</f>
        <v>14.812911489078509</v>
      </c>
      <c r="J9" s="8">
        <f t="shared" si="1"/>
        <v>11.450153702195557</v>
      </c>
    </row>
    <row r="10" spans="1:10" x14ac:dyDescent="0.3">
      <c r="A10">
        <v>19</v>
      </c>
      <c r="B10" s="13" t="s">
        <v>306</v>
      </c>
      <c r="C10" s="19">
        <v>68284.210000000006</v>
      </c>
      <c r="D10" s="15">
        <v>0.4069716831378975</v>
      </c>
      <c r="E10">
        <v>3906307642.5862598</v>
      </c>
      <c r="F10">
        <v>72088</v>
      </c>
      <c r="G10" s="22">
        <f>(FACTORS_MUNI!$E$42/FACTORS_MUNI!$C$42)+(E10/SUM(E$2:E$78)*FACTORS_MUNI!$F$42/F10)</f>
        <v>27395.715402043475</v>
      </c>
      <c r="H10" s="8">
        <f t="shared" si="0"/>
        <v>10.218141907960561</v>
      </c>
      <c r="I10" s="8">
        <f>FACTORS_MUNI!$K$42</f>
        <v>14.812911489078509</v>
      </c>
      <c r="J10" s="8">
        <f t="shared" si="1"/>
        <v>11.131433832886929</v>
      </c>
    </row>
    <row r="11" spans="1:10" x14ac:dyDescent="0.3">
      <c r="A11">
        <v>72</v>
      </c>
      <c r="B11" s="13" t="s">
        <v>307</v>
      </c>
      <c r="C11" s="19">
        <v>132096.54</v>
      </c>
      <c r="D11" s="15">
        <v>0</v>
      </c>
      <c r="E11">
        <v>2170458788</v>
      </c>
      <c r="F11">
        <v>19521</v>
      </c>
      <c r="G11" s="22">
        <f>(FACTORS_MUNI!$E$42/FACTORS_MUNI!$C$42)+(E11/SUM(E$2:E$78)*FACTORS_MUNI!$F$42/F11)</f>
        <v>40119.408666030868</v>
      </c>
      <c r="H11" s="8">
        <f t="shared" si="0"/>
        <v>10.599615502835418</v>
      </c>
      <c r="I11" s="8">
        <f>FACTORS_MUNI!$K$42</f>
        <v>14.812911489078509</v>
      </c>
      <c r="J11" s="8">
        <f t="shared" si="1"/>
        <v>11.791288297888816</v>
      </c>
    </row>
    <row r="12" spans="1:10" x14ac:dyDescent="0.3">
      <c r="A12">
        <v>60</v>
      </c>
      <c r="B12" s="13" t="s">
        <v>308</v>
      </c>
      <c r="C12" s="19">
        <v>74609.509999999995</v>
      </c>
      <c r="D12" s="15">
        <v>7.6879710402943446E-2</v>
      </c>
      <c r="E12">
        <v>3408206340.8010001</v>
      </c>
      <c r="F12" s="20">
        <v>33638</v>
      </c>
      <c r="G12" s="22">
        <f>(FACTORS_MUNI!$E$42/FACTORS_MUNI!$C$42)+(E12/SUM(E$2:E$78)*FACTORS_MUNI!$F$42/F12)</f>
        <v>37917.071909032435</v>
      </c>
      <c r="H12" s="8">
        <f t="shared" si="0"/>
        <v>10.543156735798719</v>
      </c>
      <c r="I12" s="8">
        <f>FACTORS_MUNI!$K$42</f>
        <v>14.812911489078509</v>
      </c>
      <c r="J12" s="8">
        <f t="shared" si="1"/>
        <v>11.220023257959742</v>
      </c>
    </row>
    <row r="13" spans="1:10" x14ac:dyDescent="0.3">
      <c r="A13">
        <v>58</v>
      </c>
      <c r="B13" s="13" t="s">
        <v>309</v>
      </c>
      <c r="C13" s="19">
        <v>66070.73</v>
      </c>
      <c r="D13" s="15">
        <v>0.4090515614942401</v>
      </c>
      <c r="E13">
        <v>1763633082.14856</v>
      </c>
      <c r="F13">
        <v>42994</v>
      </c>
      <c r="G13" s="22">
        <f>(FACTORS_MUNI!$E$42/FACTORS_MUNI!$C$42)+(E13/SUM(E$2:E$78)*FACTORS_MUNI!$F$42/F13)</f>
        <v>24456.295546115129</v>
      </c>
      <c r="H13" s="8">
        <f t="shared" si="0"/>
        <v>10.104642948307722</v>
      </c>
      <c r="I13" s="8">
        <f>FACTORS_MUNI!$K$42</f>
        <v>14.812911489078509</v>
      </c>
      <c r="J13" s="8">
        <f t="shared" si="1"/>
        <v>11.098481113850436</v>
      </c>
    </row>
    <row r="14" spans="1:10" x14ac:dyDescent="0.3">
      <c r="A14">
        <v>47</v>
      </c>
      <c r="B14" s="13" t="s">
        <v>310</v>
      </c>
      <c r="C14" s="19">
        <v>46691.18</v>
      </c>
      <c r="D14" s="15">
        <v>0</v>
      </c>
      <c r="E14">
        <v>154360176</v>
      </c>
      <c r="F14">
        <v>2304</v>
      </c>
      <c r="G14" s="22">
        <f>(FACTORS_MUNI!$E$42/FACTORS_MUNI!$C$42)+(E14/SUM(E$2:E$78)*FACTORS_MUNI!$F$42/F14)</f>
        <v>30254.987363317636</v>
      </c>
      <c r="H14" s="8">
        <f t="shared" si="0"/>
        <v>10.317416321383806</v>
      </c>
      <c r="I14" s="8">
        <f>FACTORS_MUNI!$K$42</f>
        <v>14.812911489078509</v>
      </c>
      <c r="J14" s="8">
        <f t="shared" si="1"/>
        <v>10.75131056072337</v>
      </c>
    </row>
    <row r="15" spans="1:10" x14ac:dyDescent="0.3">
      <c r="A15">
        <v>48</v>
      </c>
      <c r="B15" s="13" t="s">
        <v>311</v>
      </c>
      <c r="C15" s="19">
        <v>65978.06</v>
      </c>
      <c r="D15" s="15">
        <v>8.4275672371638147E-2</v>
      </c>
      <c r="E15">
        <v>797400506</v>
      </c>
      <c r="F15">
        <v>11229</v>
      </c>
      <c r="G15" s="22">
        <f>(FACTORS_MUNI!$E$42/FACTORS_MUNI!$C$42)+(E15/SUM(E$2:E$78)*FACTORS_MUNI!$F$42/F15)</f>
        <v>31151.483805343298</v>
      </c>
      <c r="H15" s="8">
        <f t="shared" si="0"/>
        <v>10.346617157281553</v>
      </c>
      <c r="I15" s="8">
        <f>FACTORS_MUNI!$K$42</f>
        <v>14.812911489078509</v>
      </c>
      <c r="J15" s="8">
        <f t="shared" si="1"/>
        <v>11.097077541500951</v>
      </c>
    </row>
    <row r="16" spans="1:10" x14ac:dyDescent="0.3">
      <c r="A16">
        <v>44</v>
      </c>
      <c r="B16" s="13" t="s">
        <v>312</v>
      </c>
      <c r="C16" s="19">
        <v>43564.07</v>
      </c>
      <c r="D16" s="15">
        <v>0.5042573320719016</v>
      </c>
      <c r="E16">
        <v>1512923307.3832099</v>
      </c>
      <c r="F16" s="20">
        <v>29942</v>
      </c>
      <c r="G16" s="22">
        <f>(FACTORS_MUNI!$E$42/FACTORS_MUNI!$C$42)+(E16/SUM(E$2:E$78)*FACTORS_MUNI!$F$42/F16)</f>
        <v>26578.783057295183</v>
      </c>
      <c r="H16" s="8">
        <f t="shared" si="0"/>
        <v>10.187868547069192</v>
      </c>
      <c r="I16" s="8">
        <f>FACTORS_MUNI!$K$42</f>
        <v>14.812911489078509</v>
      </c>
      <c r="J16" s="8">
        <f t="shared" si="1"/>
        <v>10.681988007025614</v>
      </c>
    </row>
    <row r="17" spans="1:10" x14ac:dyDescent="0.3">
      <c r="A17">
        <v>66</v>
      </c>
      <c r="B17" s="13" t="s">
        <v>313</v>
      </c>
      <c r="C17" s="19">
        <v>53852.46</v>
      </c>
      <c r="D17" s="15">
        <v>0.75820207040818155</v>
      </c>
      <c r="E17">
        <v>1892226542</v>
      </c>
      <c r="F17">
        <v>54409</v>
      </c>
      <c r="G17" s="22">
        <f>(FACTORS_MUNI!$E$42/FACTORS_MUNI!$C$42)+(E17/SUM(E$2:E$78)*FACTORS_MUNI!$F$42/F17)</f>
        <v>23062.746341553902</v>
      </c>
      <c r="H17" s="8">
        <f t="shared" si="0"/>
        <v>10.045973882202428</v>
      </c>
      <c r="I17" s="8">
        <f>FACTORS_MUNI!$K$42</f>
        <v>14.812911489078509</v>
      </c>
      <c r="J17" s="8">
        <f t="shared" si="1"/>
        <v>10.894003363992377</v>
      </c>
    </row>
    <row r="18" spans="1:10" x14ac:dyDescent="0.3">
      <c r="A18">
        <v>64</v>
      </c>
      <c r="B18" s="13" t="s">
        <v>314</v>
      </c>
      <c r="C18" s="19">
        <v>78436.89</v>
      </c>
      <c r="D18" s="15">
        <v>5.3610100927552813E-2</v>
      </c>
      <c r="E18">
        <v>1732124198.8775499</v>
      </c>
      <c r="F18">
        <v>23629</v>
      </c>
      <c r="G18" s="22">
        <f>(FACTORS_MUNI!$E$42/FACTORS_MUNI!$C$42)+(E18/SUM(E$2:E$78)*FACTORS_MUNI!$F$42/F18)</f>
        <v>31663.222206434617</v>
      </c>
      <c r="H18" s="8">
        <f t="shared" si="0"/>
        <v>10.362911103570038</v>
      </c>
      <c r="I18" s="8">
        <f>FACTORS_MUNI!$K$42</f>
        <v>14.812911489078509</v>
      </c>
      <c r="J18" s="8">
        <f t="shared" si="1"/>
        <v>11.27004963138557</v>
      </c>
    </row>
    <row r="19" spans="1:10" x14ac:dyDescent="0.3">
      <c r="A19">
        <v>35</v>
      </c>
      <c r="B19" s="13" t="s">
        <v>315</v>
      </c>
      <c r="C19" s="19">
        <v>46865.31</v>
      </c>
      <c r="D19" s="15">
        <v>0.243556256468385</v>
      </c>
      <c r="E19">
        <v>1480662744</v>
      </c>
      <c r="F19">
        <v>21088</v>
      </c>
      <c r="G19" s="22">
        <f>(FACTORS_MUNI!$E$42/FACTORS_MUNI!$C$42)+(E19/SUM(E$2:E$78)*FACTORS_MUNI!$F$42/F19)</f>
        <v>30973.104078765362</v>
      </c>
      <c r="H19" s="8">
        <f t="shared" si="0"/>
        <v>10.340874496513166</v>
      </c>
      <c r="I19" s="8">
        <f>FACTORS_MUNI!$K$42</f>
        <v>14.812911489078509</v>
      </c>
      <c r="J19" s="8">
        <f t="shared" si="1"/>
        <v>10.755033021903188</v>
      </c>
    </row>
    <row r="20" spans="1:10" x14ac:dyDescent="0.3">
      <c r="A20">
        <v>17</v>
      </c>
      <c r="B20" s="13" t="s">
        <v>316</v>
      </c>
      <c r="C20" s="19">
        <v>87410.67</v>
      </c>
      <c r="D20" s="15">
        <v>0.25343592833800727</v>
      </c>
      <c r="E20">
        <v>4199545587.0969</v>
      </c>
      <c r="F20">
        <v>41233</v>
      </c>
      <c r="G20" s="22">
        <f>(FACTORS_MUNI!$E$42/FACTORS_MUNI!$C$42)+(E20/SUM(E$2:E$78)*FACTORS_MUNI!$F$42/F20)</f>
        <v>38035.164768619201</v>
      </c>
      <c r="H20" s="8">
        <f t="shared" si="0"/>
        <v>10.546266399448289</v>
      </c>
      <c r="I20" s="8">
        <f>FACTORS_MUNI!$K$42</f>
        <v>14.812911489078509</v>
      </c>
      <c r="J20" s="8">
        <f t="shared" si="1"/>
        <v>11.378372636572042</v>
      </c>
    </row>
    <row r="21" spans="1:10" x14ac:dyDescent="0.3">
      <c r="A21">
        <v>27</v>
      </c>
      <c r="B21" s="13" t="s">
        <v>317</v>
      </c>
      <c r="C21" s="19">
        <v>37170.33</v>
      </c>
      <c r="D21" s="15">
        <v>0.68962585034013602</v>
      </c>
      <c r="E21">
        <v>913888258.70661795</v>
      </c>
      <c r="F21">
        <v>20731</v>
      </c>
      <c r="G21" s="22">
        <f>(FACTORS_MUNI!$E$42/FACTORS_MUNI!$C$42)+(E21/SUM(E$2:E$78)*FACTORS_MUNI!$F$42/F21)</f>
        <v>25139.991975602119</v>
      </c>
      <c r="H21" s="8">
        <f t="shared" si="0"/>
        <v>10.132215162955728</v>
      </c>
      <c r="I21" s="8">
        <f>FACTORS_MUNI!$K$42</f>
        <v>14.812911489078509</v>
      </c>
      <c r="J21" s="8">
        <f t="shared" si="1"/>
        <v>10.523266141379409</v>
      </c>
    </row>
    <row r="22" spans="1:10" x14ac:dyDescent="0.3">
      <c r="A22">
        <v>52</v>
      </c>
      <c r="B22" s="13" t="s">
        <v>318</v>
      </c>
      <c r="C22" s="19">
        <v>61942.46</v>
      </c>
      <c r="D22" s="15">
        <v>0.99935555146381883</v>
      </c>
      <c r="E22">
        <v>715963426.428491</v>
      </c>
      <c r="F22" s="20">
        <v>22613</v>
      </c>
      <c r="G22" s="22">
        <f>(FACTORS_MUNI!$E$42/FACTORS_MUNI!$C$42)+(E22/SUM(E$2:E$78)*FACTORS_MUNI!$F$42/F22)</f>
        <v>22367.104602816216</v>
      </c>
      <c r="H22" s="8">
        <f t="shared" si="0"/>
        <v>10.015346613957636</v>
      </c>
      <c r="I22" s="8">
        <f>FACTORS_MUNI!$K$42</f>
        <v>14.812911489078509</v>
      </c>
      <c r="J22" s="8">
        <f t="shared" si="1"/>
        <v>11.033961168592592</v>
      </c>
    </row>
    <row r="23" spans="1:10" x14ac:dyDescent="0.3">
      <c r="A23">
        <v>77</v>
      </c>
      <c r="B23" s="13" t="s">
        <v>319</v>
      </c>
      <c r="C23" s="19">
        <v>70548.97</v>
      </c>
      <c r="D23" s="15">
        <v>1.7550092368907203E-2</v>
      </c>
      <c r="E23">
        <v>5709652228.8214197</v>
      </c>
      <c r="F23">
        <v>56563</v>
      </c>
      <c r="G23" s="22">
        <f>(FACTORS_MUNI!$E$42/FACTORS_MUNI!$C$42)+(E23/SUM(E$2:E$78)*FACTORS_MUNI!$F$42/F23)</f>
        <v>37832.938526101389</v>
      </c>
      <c r="H23" s="8">
        <f t="shared" si="0"/>
        <v>10.540935391747592</v>
      </c>
      <c r="I23" s="8">
        <f>FACTORS_MUNI!$K$42</f>
        <v>14.812911489078509</v>
      </c>
      <c r="J23" s="8">
        <f t="shared" si="1"/>
        <v>11.164062357599615</v>
      </c>
    </row>
    <row r="24" spans="1:10" x14ac:dyDescent="0.3">
      <c r="A24">
        <v>9</v>
      </c>
      <c r="B24" s="13" t="s">
        <v>320</v>
      </c>
      <c r="C24" s="19">
        <v>128066.04</v>
      </c>
      <c r="D24" s="15">
        <v>0</v>
      </c>
      <c r="E24">
        <v>1712590142</v>
      </c>
      <c r="F24">
        <v>11558</v>
      </c>
      <c r="G24" s="22">
        <f>(FACTORS_MUNI!$E$42/FACTORS_MUNI!$C$42)+(E24/SUM(E$2:E$78)*FACTORS_MUNI!$F$42/F24)</f>
        <v>48376.228611270475</v>
      </c>
      <c r="H24" s="8">
        <f t="shared" si="0"/>
        <v>10.78676382765857</v>
      </c>
      <c r="I24" s="8">
        <f>FACTORS_MUNI!$K$42</f>
        <v>14.812911489078509</v>
      </c>
      <c r="J24" s="8">
        <f t="shared" si="1"/>
        <v>11.760301347351763</v>
      </c>
    </row>
    <row r="25" spans="1:10" x14ac:dyDescent="0.3">
      <c r="A25">
        <v>68</v>
      </c>
      <c r="B25" s="13" t="s">
        <v>321</v>
      </c>
      <c r="C25" s="19">
        <v>31396.83</v>
      </c>
      <c r="D25" s="15">
        <v>0.9463662850342649</v>
      </c>
      <c r="E25">
        <v>569159118</v>
      </c>
      <c r="F25">
        <v>23195</v>
      </c>
      <c r="G25" s="22">
        <f>(FACTORS_MUNI!$E$42/FACTORS_MUNI!$C$42)+(E25/SUM(E$2:E$78)*FACTORS_MUNI!$F$42/F25)</f>
        <v>20776.899307130003</v>
      </c>
      <c r="H25" s="8">
        <f t="shared" si="0"/>
        <v>9.9415970382707179</v>
      </c>
      <c r="I25" s="8">
        <f>FACTORS_MUNI!$K$42</f>
        <v>14.812911489078509</v>
      </c>
      <c r="J25" s="8">
        <f t="shared" si="1"/>
        <v>10.354462211385991</v>
      </c>
    </row>
    <row r="26" spans="1:10" x14ac:dyDescent="0.3">
      <c r="A26">
        <v>12</v>
      </c>
      <c r="B26" s="13" t="s">
        <v>322</v>
      </c>
      <c r="C26" s="19">
        <v>131664.94</v>
      </c>
      <c r="D26" s="15">
        <v>0</v>
      </c>
      <c r="E26">
        <v>3279025819</v>
      </c>
      <c r="F26">
        <v>19901</v>
      </c>
      <c r="G26" s="22">
        <f>(FACTORS_MUNI!$E$42/FACTORS_MUNI!$C$42)+(E26/SUM(E$2:E$78)*FACTORS_MUNI!$F$42/F26)</f>
        <v>52080.376215961507</v>
      </c>
      <c r="H26" s="8">
        <f t="shared" si="0"/>
        <v>10.860543500665145</v>
      </c>
      <c r="I26" s="8">
        <f>FACTORS_MUNI!$K$42</f>
        <v>14.812911489078509</v>
      </c>
      <c r="J26" s="8">
        <f t="shared" si="1"/>
        <v>11.78801564120511</v>
      </c>
    </row>
    <row r="27" spans="1:10" x14ac:dyDescent="0.3">
      <c r="A27">
        <v>37</v>
      </c>
      <c r="B27" s="13" t="s">
        <v>323</v>
      </c>
      <c r="C27" s="19">
        <v>20239.66</v>
      </c>
      <c r="D27" s="15">
        <v>0.9668874172185431</v>
      </c>
      <c r="E27">
        <v>98064092</v>
      </c>
      <c r="F27" s="20">
        <v>2345</v>
      </c>
      <c r="G27" s="22">
        <f>(FACTORS_MUNI!$E$42/FACTORS_MUNI!$C$42)+(E27/SUM(E$2:E$78)*FACTORS_MUNI!$F$42/F27)</f>
        <v>24634.418396986395</v>
      </c>
      <c r="H27" s="8">
        <f t="shared" si="0"/>
        <v>10.111899865890214</v>
      </c>
      <c r="I27" s="8">
        <f>FACTORS_MUNI!$K$42</f>
        <v>14.812911489078509</v>
      </c>
      <c r="J27" s="8">
        <f t="shared" si="1"/>
        <v>9.915399324841335</v>
      </c>
    </row>
    <row r="28" spans="1:10" x14ac:dyDescent="0.3">
      <c r="A28">
        <v>63</v>
      </c>
      <c r="B28" s="13" t="s">
        <v>324</v>
      </c>
      <c r="C28" s="19">
        <v>63701.67</v>
      </c>
      <c r="D28" s="15">
        <v>0.91780475467880629</v>
      </c>
      <c r="E28">
        <v>1248469892.1224699</v>
      </c>
      <c r="F28">
        <v>36081</v>
      </c>
      <c r="G28" s="22">
        <f>(FACTORS_MUNI!$E$42/FACTORS_MUNI!$C$42)+(E28/SUM(E$2:E$78)*FACTORS_MUNI!$F$42/F28)</f>
        <v>23023.467133774691</v>
      </c>
      <c r="H28" s="8">
        <f t="shared" si="0"/>
        <v>10.044269284912776</v>
      </c>
      <c r="I28" s="8">
        <f>FACTORS_MUNI!$K$42</f>
        <v>14.812911489078509</v>
      </c>
      <c r="J28" s="8">
        <f t="shared" si="1"/>
        <v>11.061966057857108</v>
      </c>
    </row>
    <row r="29" spans="1:10" x14ac:dyDescent="0.3">
      <c r="A29">
        <v>56</v>
      </c>
      <c r="B29" s="13" t="s">
        <v>325</v>
      </c>
      <c r="C29" s="19">
        <v>96218.19</v>
      </c>
      <c r="D29" s="15">
        <v>0.20226304353960325</v>
      </c>
      <c r="E29">
        <v>2920911652</v>
      </c>
      <c r="F29">
        <v>36732</v>
      </c>
      <c r="G29" s="22">
        <f>(FACTORS_MUNI!$E$42/FACTORS_MUNI!$C$42)+(E29/SUM(E$2:E$78)*FACTORS_MUNI!$F$42/F29)</f>
        <v>33050.498247276621</v>
      </c>
      <c r="H29" s="8">
        <f t="shared" si="0"/>
        <v>10.405791920726761</v>
      </c>
      <c r="I29" s="8">
        <f>FACTORS_MUNI!$K$42</f>
        <v>14.812911489078509</v>
      </c>
      <c r="J29" s="8">
        <f t="shared" si="1"/>
        <v>11.474373704018522</v>
      </c>
    </row>
    <row r="30" spans="1:10" x14ac:dyDescent="0.3">
      <c r="A30">
        <v>38</v>
      </c>
      <c r="B30" s="13" t="s">
        <v>326</v>
      </c>
      <c r="C30" s="19">
        <v>50075.11</v>
      </c>
      <c r="D30" s="15">
        <v>0.40599455040871935</v>
      </c>
      <c r="E30">
        <v>1493820786</v>
      </c>
      <c r="F30">
        <v>25181</v>
      </c>
      <c r="G30" s="22">
        <f>(FACTORS_MUNI!$E$42/FACTORS_MUNI!$C$42)+(E30/SUM(E$2:E$78)*FACTORS_MUNI!$F$42/F30)</f>
        <v>28542.072395337931</v>
      </c>
      <c r="H30" s="8">
        <f t="shared" si="0"/>
        <v>10.259134502106491</v>
      </c>
      <c r="I30" s="8">
        <f>FACTORS_MUNI!$K$42</f>
        <v>14.812911489078509</v>
      </c>
      <c r="J30" s="8">
        <f t="shared" si="1"/>
        <v>10.821279357236548</v>
      </c>
    </row>
    <row r="31" spans="1:10" x14ac:dyDescent="0.3">
      <c r="A31">
        <v>69</v>
      </c>
      <c r="B31" s="13" t="s">
        <v>327</v>
      </c>
      <c r="C31" s="19">
        <v>37961.58</v>
      </c>
      <c r="D31" s="15">
        <v>0.51663436179339706</v>
      </c>
      <c r="E31">
        <v>1143447176</v>
      </c>
      <c r="F31">
        <v>29143</v>
      </c>
      <c r="G31" s="22">
        <f>(FACTORS_MUNI!$E$42/FACTORS_MUNI!$C$42)+(E31/SUM(E$2:E$78)*FACTORS_MUNI!$F$42/F31)</f>
        <v>24057.893178540915</v>
      </c>
      <c r="H31" s="8">
        <f t="shared" si="0"/>
        <v>10.088218420380427</v>
      </c>
      <c r="I31" s="8">
        <f>FACTORS_MUNI!$K$42</f>
        <v>14.812911489078509</v>
      </c>
      <c r="J31" s="8">
        <f t="shared" si="1"/>
        <v>10.544329874618462</v>
      </c>
    </row>
    <row r="32" spans="1:10" x14ac:dyDescent="0.3">
      <c r="A32">
        <v>55</v>
      </c>
      <c r="B32" s="13" t="s">
        <v>328</v>
      </c>
      <c r="C32" s="19">
        <v>65810.570000000007</v>
      </c>
      <c r="D32" s="15">
        <v>5.2857285329610051E-3</v>
      </c>
      <c r="E32">
        <v>617721898.44498003</v>
      </c>
      <c r="F32">
        <v>8927</v>
      </c>
      <c r="G32" s="22">
        <f>(FACTORS_MUNI!$E$42/FACTORS_MUNI!$C$42)+(E32/SUM(E$2:E$78)*FACTORS_MUNI!$F$42/F32)</f>
        <v>30746.19160747189</v>
      </c>
      <c r="H32" s="8">
        <f t="shared" si="0"/>
        <v>10.333521415401083</v>
      </c>
      <c r="I32" s="8">
        <f>FACTORS_MUNI!$K$42</f>
        <v>14.812911489078509</v>
      </c>
      <c r="J32" s="8">
        <f t="shared" si="1"/>
        <v>11.094535742710331</v>
      </c>
    </row>
    <row r="33" spans="1:10" x14ac:dyDescent="0.3">
      <c r="A33">
        <v>20</v>
      </c>
      <c r="B33" s="13" t="s">
        <v>329</v>
      </c>
      <c r="C33" s="19">
        <v>70766.63</v>
      </c>
      <c r="D33" s="15">
        <v>0.23929847892943229</v>
      </c>
      <c r="E33">
        <v>1294621431.9169199</v>
      </c>
      <c r="F33">
        <v>22576</v>
      </c>
      <c r="G33" s="22">
        <f>(FACTORS_MUNI!$E$42/FACTORS_MUNI!$C$42)+(E33/SUM(E$2:E$78)*FACTORS_MUNI!$F$42/F33)</f>
        <v>28100.454108940143</v>
      </c>
      <c r="H33" s="8">
        <f t="shared" si="0"/>
        <v>10.243541015651761</v>
      </c>
      <c r="I33" s="8">
        <f>FACTORS_MUNI!$K$42</f>
        <v>14.812911489078509</v>
      </c>
      <c r="J33" s="8">
        <f t="shared" si="1"/>
        <v>11.167142840888388</v>
      </c>
    </row>
    <row r="34" spans="1:10" x14ac:dyDescent="0.3">
      <c r="A34">
        <v>23</v>
      </c>
      <c r="B34" s="13" t="s">
        <v>330</v>
      </c>
      <c r="C34" s="19">
        <v>56531.19</v>
      </c>
      <c r="D34" s="15">
        <v>0.45625403858580266</v>
      </c>
      <c r="E34">
        <v>3008336717.9130502</v>
      </c>
      <c r="F34">
        <v>56153</v>
      </c>
      <c r="G34" s="22">
        <f>(FACTORS_MUNI!$E$42/FACTORS_MUNI!$C$42)+(E34/SUM(E$2:E$78)*FACTORS_MUNI!$F$42/F34)</f>
        <v>27258.625463715849</v>
      </c>
      <c r="H34" s="8">
        <f t="shared" ref="H34:H65" si="2">LN(G34)</f>
        <v>10.213125280784656</v>
      </c>
      <c r="I34" s="8">
        <f>FACTORS_MUNI!$K$42</f>
        <v>14.812911489078509</v>
      </c>
      <c r="J34" s="8">
        <f t="shared" ref="J34:J65" si="3">LN(C34)</f>
        <v>10.942547800217275</v>
      </c>
    </row>
    <row r="35" spans="1:10" x14ac:dyDescent="0.3">
      <c r="A35">
        <v>41</v>
      </c>
      <c r="B35" s="13" t="s">
        <v>331</v>
      </c>
      <c r="C35" s="19">
        <v>69838.12</v>
      </c>
      <c r="D35" s="15">
        <v>9.919880499728409E-2</v>
      </c>
      <c r="E35">
        <v>3580926386</v>
      </c>
      <c r="F35">
        <v>30599</v>
      </c>
      <c r="G35" s="22">
        <f>(FACTORS_MUNI!$E$42/FACTORS_MUNI!$C$42)+(E35/SUM(E$2:E$78)*FACTORS_MUNI!$F$42/F35)</f>
        <v>41423.46401034166</v>
      </c>
      <c r="H35" s="8">
        <f t="shared" si="2"/>
        <v>10.631602762798435</v>
      </c>
      <c r="I35" s="8">
        <f>FACTORS_MUNI!$K$42</f>
        <v>14.812911489078509</v>
      </c>
      <c r="J35" s="8">
        <f t="shared" si="3"/>
        <v>11.153935271479922</v>
      </c>
    </row>
    <row r="36" spans="1:10" x14ac:dyDescent="0.3">
      <c r="A36">
        <v>16</v>
      </c>
      <c r="B36" s="13" t="s">
        <v>332</v>
      </c>
      <c r="C36" s="19">
        <v>91410.82</v>
      </c>
      <c r="D36" s="15">
        <v>0</v>
      </c>
      <c r="E36">
        <v>5581578444.4309101</v>
      </c>
      <c r="F36">
        <v>53332</v>
      </c>
      <c r="G36" s="22">
        <f>(FACTORS_MUNI!$E$42/FACTORS_MUNI!$C$42)+(E36/SUM(E$2:E$78)*FACTORS_MUNI!$F$42/F36)</f>
        <v>38662.014447361733</v>
      </c>
      <c r="H36" s="8">
        <f t="shared" si="2"/>
        <v>10.562612858165332</v>
      </c>
      <c r="I36" s="8">
        <f>FACTORS_MUNI!$K$42</f>
        <v>14.812911489078509</v>
      </c>
      <c r="J36" s="8">
        <f t="shared" si="3"/>
        <v>11.423119131179776</v>
      </c>
    </row>
    <row r="37" spans="1:10" x14ac:dyDescent="0.3">
      <c r="A37">
        <v>11</v>
      </c>
      <c r="B37" s="13" t="s">
        <v>333</v>
      </c>
      <c r="C37" s="19">
        <v>96869.59</v>
      </c>
      <c r="D37" s="15">
        <v>0.37648764113518463</v>
      </c>
      <c r="E37">
        <v>2737263835.1213899</v>
      </c>
      <c r="F37">
        <v>26649</v>
      </c>
      <c r="G37" s="22">
        <f>(FACTORS_MUNI!$E$42/FACTORS_MUNI!$C$42)+(E37/SUM(E$2:E$78)*FACTORS_MUNI!$F$42/F37)</f>
        <v>38228.550695386752</v>
      </c>
      <c r="H37" s="8">
        <f t="shared" si="2"/>
        <v>10.551337915832869</v>
      </c>
      <c r="I37" s="8">
        <f>FACTORS_MUNI!$K$42</f>
        <v>14.812911489078509</v>
      </c>
      <c r="J37" s="8">
        <f t="shared" si="3"/>
        <v>11.481120919934959</v>
      </c>
    </row>
    <row r="38" spans="1:10" x14ac:dyDescent="0.3">
      <c r="A38">
        <v>39</v>
      </c>
      <c r="B38" s="13" t="s">
        <v>334</v>
      </c>
      <c r="C38" s="19">
        <v>64745.87</v>
      </c>
      <c r="D38" s="15">
        <v>0.62879263444235201</v>
      </c>
      <c r="E38">
        <v>1817501210</v>
      </c>
      <c r="F38">
        <v>18417</v>
      </c>
      <c r="G38" s="22">
        <f>(FACTORS_MUNI!$E$42/FACTORS_MUNI!$C$42)+(E38/SUM(E$2:E$78)*FACTORS_MUNI!$F$42/F38)</f>
        <v>37329.066794134131</v>
      </c>
      <c r="H38" s="8">
        <f t="shared" si="2"/>
        <v>10.527527572778423</v>
      </c>
      <c r="I38" s="8">
        <f>FACTORS_MUNI!$K$42</f>
        <v>14.812911489078509</v>
      </c>
      <c r="J38" s="8">
        <f t="shared" si="3"/>
        <v>11.078225193743728</v>
      </c>
    </row>
    <row r="39" spans="1:10" x14ac:dyDescent="0.3">
      <c r="A39">
        <v>6</v>
      </c>
      <c r="B39" s="13" t="s">
        <v>335</v>
      </c>
      <c r="C39" s="19">
        <v>105498.97</v>
      </c>
      <c r="D39" s="15">
        <v>0</v>
      </c>
      <c r="E39">
        <v>20162247693.400501</v>
      </c>
      <c r="F39">
        <v>102827</v>
      </c>
      <c r="G39" s="22">
        <f>(FACTORS_MUNI!$E$42/FACTORS_MUNI!$C$42)+(E39/SUM(E$2:E$78)*FACTORS_MUNI!$F$42/F39)</f>
        <v>59070.290632169614</v>
      </c>
      <c r="H39" s="8">
        <f t="shared" si="2"/>
        <v>10.98648338042071</v>
      </c>
      <c r="I39" s="8">
        <f>FACTORS_MUNI!$K$42</f>
        <v>14.812911489078509</v>
      </c>
      <c r="J39" s="8">
        <f t="shared" si="3"/>
        <v>11.566456468817425</v>
      </c>
    </row>
    <row r="40" spans="1:10" x14ac:dyDescent="0.3">
      <c r="A40">
        <v>7</v>
      </c>
      <c r="B40" s="13" t="s">
        <v>336</v>
      </c>
      <c r="C40" s="19">
        <v>137914.1</v>
      </c>
      <c r="D40" s="15">
        <v>0</v>
      </c>
      <c r="E40">
        <v>20527671967</v>
      </c>
      <c r="F40">
        <v>67987</v>
      </c>
      <c r="G40" s="22">
        <f>(FACTORS_MUNI!$E$42/FACTORS_MUNI!$C$42)+(E40/SUM(E$2:E$78)*FACTORS_MUNI!$F$42/F40)</f>
        <v>82700.650721299608</v>
      </c>
      <c r="H40" s="8">
        <f t="shared" si="2"/>
        <v>11.322982749436687</v>
      </c>
      <c r="I40" s="8">
        <f>FACTORS_MUNI!$K$42</f>
        <v>14.812911489078509</v>
      </c>
      <c r="J40" s="8">
        <f t="shared" si="3"/>
        <v>11.834386306560223</v>
      </c>
    </row>
    <row r="41" spans="1:10" x14ac:dyDescent="0.3">
      <c r="A41">
        <v>4</v>
      </c>
      <c r="B41" s="13" t="s">
        <v>337</v>
      </c>
      <c r="C41" s="19">
        <v>92490.48</v>
      </c>
      <c r="D41" s="15">
        <v>0</v>
      </c>
      <c r="E41">
        <v>5369096809.7778797</v>
      </c>
      <c r="F41">
        <v>41651</v>
      </c>
      <c r="G41" s="22">
        <f>(FACTORS_MUNI!$E$42/FACTORS_MUNI!$C$42)+(E41/SUM(E$2:E$78)*FACTORS_MUNI!$F$42/F41)</f>
        <v>44075.280116515634</v>
      </c>
      <c r="H41" s="8">
        <f t="shared" si="2"/>
        <v>10.693654362697165</v>
      </c>
      <c r="I41" s="8">
        <f>FACTORS_MUNI!$K$42</f>
        <v>14.812911489078509</v>
      </c>
      <c r="J41" s="8">
        <f t="shared" si="3"/>
        <v>11.434860999285082</v>
      </c>
    </row>
    <row r="42" spans="1:10" x14ac:dyDescent="0.3">
      <c r="A42">
        <v>22</v>
      </c>
      <c r="B42" s="13" t="s">
        <v>338</v>
      </c>
      <c r="C42" s="19">
        <v>107915.53</v>
      </c>
      <c r="D42" s="15">
        <v>6.2987511337472962E-2</v>
      </c>
      <c r="E42">
        <v>10310558879.0436</v>
      </c>
      <c r="F42">
        <v>71192</v>
      </c>
      <c r="G42" s="22">
        <f>(FACTORS_MUNI!$E$42/FACTORS_MUNI!$C$42)+(E42/SUM(E$2:E$78)*FACTORS_MUNI!$F$42/F42)</f>
        <v>47629.279047831318</v>
      </c>
      <c r="H42" s="8">
        <f t="shared" si="2"/>
        <v>10.771202957166205</v>
      </c>
      <c r="I42" s="8">
        <f>FACTORS_MUNI!$K$42</f>
        <v>14.812911489078509</v>
      </c>
      <c r="J42" s="8">
        <f t="shared" si="3"/>
        <v>11.589104070453772</v>
      </c>
    </row>
    <row r="43" spans="1:10" x14ac:dyDescent="0.3">
      <c r="A43">
        <v>31</v>
      </c>
      <c r="B43" s="13" t="s">
        <v>339</v>
      </c>
      <c r="C43" s="19">
        <v>80267.06</v>
      </c>
      <c r="D43" s="15">
        <v>0.31566472104530235</v>
      </c>
      <c r="E43">
        <v>3323989868.12713</v>
      </c>
      <c r="F43">
        <v>33446</v>
      </c>
      <c r="G43" s="22">
        <f>(FACTORS_MUNI!$E$42/FACTORS_MUNI!$C$42)+(E43/SUM(E$2:E$78)*FACTORS_MUNI!$F$42/F43)</f>
        <v>37484.818974577312</v>
      </c>
      <c r="H43" s="8">
        <f t="shared" si="2"/>
        <v>10.531691302649186</v>
      </c>
      <c r="I43" s="8">
        <f>FACTORS_MUNI!$K$42</f>
        <v>14.812911489078509</v>
      </c>
      <c r="J43" s="8">
        <f t="shared" si="3"/>
        <v>11.293114604068913</v>
      </c>
    </row>
    <row r="44" spans="1:10" x14ac:dyDescent="0.3">
      <c r="A44">
        <v>59</v>
      </c>
      <c r="B44" s="13" t="s">
        <v>340</v>
      </c>
      <c r="C44" s="19">
        <v>79959.789999999994</v>
      </c>
      <c r="D44" s="15">
        <v>0.21836337373610501</v>
      </c>
      <c r="E44">
        <v>1233066664.6865699</v>
      </c>
      <c r="F44">
        <v>14854</v>
      </c>
      <c r="G44" s="22">
        <f>(FACTORS_MUNI!$E$42/FACTORS_MUNI!$C$42)+(E44/SUM(E$2:E$78)*FACTORS_MUNI!$F$42/F44)</f>
        <v>33830.221674080276</v>
      </c>
      <c r="H44" s="8">
        <f t="shared" si="2"/>
        <v>10.429109814342121</v>
      </c>
      <c r="I44" s="8">
        <f>FACTORS_MUNI!$K$42</f>
        <v>14.812911489078509</v>
      </c>
      <c r="J44" s="8">
        <f t="shared" si="3"/>
        <v>11.289279162297731</v>
      </c>
    </row>
    <row r="45" spans="1:10" x14ac:dyDescent="0.3">
      <c r="A45">
        <v>18</v>
      </c>
      <c r="B45" s="13" t="s">
        <v>341</v>
      </c>
      <c r="C45" s="19">
        <v>72339.740000000005</v>
      </c>
      <c r="D45" s="15">
        <v>0.46219012568571627</v>
      </c>
      <c r="E45">
        <v>938028756</v>
      </c>
      <c r="F45">
        <v>14280</v>
      </c>
      <c r="G45" s="22">
        <f>(FACTORS_MUNI!$E$42/FACTORS_MUNI!$C$42)+(E45/SUM(E$2:E$78)*FACTORS_MUNI!$F$42/F45)</f>
        <v>29962.930277003798</v>
      </c>
      <c r="H45" s="8">
        <f t="shared" si="2"/>
        <v>10.307716239156969</v>
      </c>
      <c r="I45" s="8">
        <f>FACTORS_MUNI!$K$42</f>
        <v>14.812911489078509</v>
      </c>
      <c r="J45" s="8">
        <f t="shared" si="3"/>
        <v>11.189128911360841</v>
      </c>
    </row>
    <row r="46" spans="1:10" x14ac:dyDescent="0.3">
      <c r="A46">
        <v>75</v>
      </c>
      <c r="B46" s="13" t="s">
        <v>342</v>
      </c>
      <c r="C46" s="19">
        <v>70807.509999999995</v>
      </c>
      <c r="D46" s="15">
        <v>0.31365052393089776</v>
      </c>
      <c r="E46">
        <v>1495655536.28953</v>
      </c>
      <c r="F46" s="20">
        <v>20873</v>
      </c>
      <c r="G46" s="22">
        <f>(FACTORS_MUNI!$E$42/FACTORS_MUNI!$C$42)+(E46/SUM(E$2:E$78)*FACTORS_MUNI!$F$42/F46)</f>
        <v>31294.894906832145</v>
      </c>
      <c r="H46" s="8">
        <f t="shared" si="2"/>
        <v>10.351210261207521</v>
      </c>
      <c r="I46" s="8">
        <f>FACTORS_MUNI!$K$42</f>
        <v>14.812911489078509</v>
      </c>
      <c r="J46" s="8">
        <f t="shared" si="3"/>
        <v>11.167720347502749</v>
      </c>
    </row>
    <row r="47" spans="1:10" x14ac:dyDescent="0.3">
      <c r="A47">
        <v>74</v>
      </c>
      <c r="B47" s="13" t="s">
        <v>343</v>
      </c>
      <c r="C47" s="19">
        <v>115423.08</v>
      </c>
      <c r="D47" s="15">
        <v>0.82639038007300836</v>
      </c>
      <c r="E47">
        <v>1603307654</v>
      </c>
      <c r="F47">
        <v>19059</v>
      </c>
      <c r="G47" s="22">
        <f>(FACTORS_MUNI!$E$42/FACTORS_MUNI!$C$42)+(E47/SUM(E$2:E$78)*FACTORS_MUNI!$F$42/F47)</f>
        <v>34078.221871625916</v>
      </c>
      <c r="H47" s="8">
        <f t="shared" si="2"/>
        <v>10.436413804453736</v>
      </c>
      <c r="I47" s="8">
        <f>FACTORS_MUNI!$K$42</f>
        <v>14.812911489078509</v>
      </c>
      <c r="J47" s="8">
        <f t="shared" si="3"/>
        <v>11.656359613058802</v>
      </c>
    </row>
    <row r="48" spans="1:10" x14ac:dyDescent="0.3">
      <c r="A48">
        <v>8</v>
      </c>
      <c r="B48" s="13" t="s">
        <v>344</v>
      </c>
      <c r="C48" s="19">
        <v>124208.23</v>
      </c>
      <c r="D48" s="15">
        <v>0</v>
      </c>
      <c r="E48">
        <v>133150650239.28799</v>
      </c>
      <c r="F48">
        <v>107331</v>
      </c>
      <c r="G48" s="22">
        <f>(FACTORS_MUNI!$E$42/FACTORS_MUNI!$C$42)+(E48/SUM(E$2:E$78)*FACTORS_MUNI!$F$42/F48)</f>
        <v>292231.3060479408</v>
      </c>
      <c r="H48" s="8">
        <f t="shared" si="2"/>
        <v>12.585300911669748</v>
      </c>
      <c r="I48" s="8">
        <f>FACTORS_MUNI!$K$42</f>
        <v>14.812911489078509</v>
      </c>
      <c r="J48" s="8">
        <f t="shared" si="3"/>
        <v>11.729714710376324</v>
      </c>
    </row>
    <row r="49" spans="1:10" x14ac:dyDescent="0.3">
      <c r="A49">
        <v>33</v>
      </c>
      <c r="B49" s="13" t="s">
        <v>345</v>
      </c>
      <c r="C49" s="19">
        <v>118169.58</v>
      </c>
      <c r="D49" s="15">
        <v>0</v>
      </c>
      <c r="E49">
        <v>7925645746.0561705</v>
      </c>
      <c r="F49">
        <v>30482</v>
      </c>
      <c r="G49" s="22">
        <f>(FACTORS_MUNI!$E$42/FACTORS_MUNI!$C$42)+(E49/SUM(E$2:E$78)*FACTORS_MUNI!$F$42/F49)</f>
        <v>73341.774853735275</v>
      </c>
      <c r="H49" s="8">
        <f t="shared" si="2"/>
        <v>11.202885641683396</v>
      </c>
      <c r="I49" s="8">
        <f>FACTORS_MUNI!$K$42</f>
        <v>14.812911489078509</v>
      </c>
      <c r="J49" s="8">
        <f t="shared" si="3"/>
        <v>11.67987599042517</v>
      </c>
    </row>
    <row r="50" spans="1:10" x14ac:dyDescent="0.3">
      <c r="A50">
        <v>28</v>
      </c>
      <c r="B50" s="13" t="s">
        <v>346</v>
      </c>
      <c r="C50" s="19">
        <v>111332.42</v>
      </c>
      <c r="D50" s="15">
        <v>0.1626522885638102</v>
      </c>
      <c r="E50">
        <v>24735880873.030602</v>
      </c>
      <c r="F50">
        <v>68165</v>
      </c>
      <c r="G50" s="22">
        <f>(FACTORS_MUNI!$E$42/FACTORS_MUNI!$C$42)+(E50/SUM(E$2:E$78)*FACTORS_MUNI!$F$42/F50)</f>
        <v>96305.969576185365</v>
      </c>
      <c r="H50" s="8">
        <f t="shared" si="2"/>
        <v>11.475285585233443</v>
      </c>
      <c r="I50" s="8">
        <f>FACTORS_MUNI!$K$42</f>
        <v>14.812911489078509</v>
      </c>
      <c r="J50" s="8">
        <f t="shared" si="3"/>
        <v>11.620275779664263</v>
      </c>
    </row>
    <row r="51" spans="1:10" x14ac:dyDescent="0.3">
      <c r="A51">
        <v>61</v>
      </c>
      <c r="B51" s="13" t="s">
        <v>347</v>
      </c>
      <c r="C51" s="19">
        <v>55496.94</v>
      </c>
      <c r="D51" s="15">
        <v>0.44576877234803336</v>
      </c>
      <c r="E51">
        <v>1731024519.1602099</v>
      </c>
      <c r="F51" s="20">
        <v>40065</v>
      </c>
      <c r="G51" s="22">
        <f>(FACTORS_MUNI!$E$42/FACTORS_MUNI!$C$42)+(E51/SUM(E$2:E$78)*FACTORS_MUNI!$F$42/F51)</f>
        <v>24944.046499280827</v>
      </c>
      <c r="H51" s="8">
        <f t="shared" si="2"/>
        <v>10.124390455442743</v>
      </c>
      <c r="I51" s="8">
        <f>FACTORS_MUNI!$K$42</f>
        <v>14.812911489078509</v>
      </c>
      <c r="J51" s="8">
        <f t="shared" si="3"/>
        <v>10.924083163079393</v>
      </c>
    </row>
    <row r="52" spans="1:10" x14ac:dyDescent="0.3">
      <c r="A52">
        <v>5</v>
      </c>
      <c r="B52" s="13" t="s">
        <v>348</v>
      </c>
      <c r="C52" s="19">
        <v>145659.34</v>
      </c>
      <c r="D52" s="15">
        <v>0</v>
      </c>
      <c r="E52">
        <v>7388587780.5430002</v>
      </c>
      <c r="F52">
        <v>36014</v>
      </c>
      <c r="G52" s="22">
        <f>(FACTORS_MUNI!$E$42/FACTORS_MUNI!$C$42)+(E52/SUM(E$2:E$78)*FACTORS_MUNI!$F$42/F52)</f>
        <v>61097.108374634066</v>
      </c>
      <c r="H52" s="8">
        <f t="shared" si="2"/>
        <v>11.020219817929036</v>
      </c>
      <c r="I52" s="8">
        <f>FACTORS_MUNI!$K$42</f>
        <v>14.812911489078509</v>
      </c>
      <c r="J52" s="8">
        <f t="shared" si="3"/>
        <v>11.88902588666182</v>
      </c>
    </row>
    <row r="53" spans="1:10" x14ac:dyDescent="0.3">
      <c r="A53">
        <v>29</v>
      </c>
      <c r="B53" s="13" t="s">
        <v>349</v>
      </c>
      <c r="C53" s="19">
        <v>42220.59</v>
      </c>
      <c r="D53" s="15">
        <v>0.6732482611944588</v>
      </c>
      <c r="E53">
        <v>1201042675.8569601</v>
      </c>
      <c r="F53">
        <v>33958</v>
      </c>
      <c r="G53" s="22">
        <f>(FACTORS_MUNI!$E$42/FACTORS_MUNI!$C$42)+(E53/SUM(E$2:E$78)*FACTORS_MUNI!$F$42/F53)</f>
        <v>23194.598497806408</v>
      </c>
      <c r="H53" s="8">
        <f t="shared" si="2"/>
        <v>10.051674707176419</v>
      </c>
      <c r="I53" s="8">
        <f>FACTORS_MUNI!$K$42</f>
        <v>14.812911489078509</v>
      </c>
      <c r="J53" s="8">
        <f t="shared" si="3"/>
        <v>10.650663295724376</v>
      </c>
    </row>
    <row r="54" spans="1:10" x14ac:dyDescent="0.3">
      <c r="A54">
        <v>13</v>
      </c>
      <c r="B54" s="13" t="s">
        <v>350</v>
      </c>
      <c r="C54" s="19">
        <v>77173.179999999993</v>
      </c>
      <c r="D54" s="15">
        <v>0</v>
      </c>
      <c r="E54">
        <v>1952269532.3166299</v>
      </c>
      <c r="F54">
        <v>18356</v>
      </c>
      <c r="G54" s="22">
        <f>(FACTORS_MUNI!$E$42/FACTORS_MUNI!$C$42)+(E54/SUM(E$2:E$78)*FACTORS_MUNI!$F$42/F54)</f>
        <v>39041.222430128924</v>
      </c>
      <c r="H54" s="8">
        <f t="shared" si="2"/>
        <v>10.572373352283966</v>
      </c>
      <c r="I54" s="8">
        <f>FACTORS_MUNI!$K$42</f>
        <v>14.812911489078509</v>
      </c>
      <c r="J54" s="8">
        <f t="shared" si="3"/>
        <v>11.253807266325841</v>
      </c>
    </row>
    <row r="55" spans="1:10" x14ac:dyDescent="0.3">
      <c r="A55">
        <v>10</v>
      </c>
      <c r="B55" s="13" t="s">
        <v>351</v>
      </c>
      <c r="C55" s="19">
        <v>110554.42</v>
      </c>
      <c r="D55" s="15">
        <v>0.3766284625225178</v>
      </c>
      <c r="E55">
        <v>4694332680</v>
      </c>
      <c r="F55" s="20">
        <v>39840</v>
      </c>
      <c r="G55" s="22">
        <f>(FACTORS_MUNI!$E$42/FACTORS_MUNI!$C$42)+(E55/SUM(E$2:E$78)*FACTORS_MUNI!$F$42/F55)</f>
        <v>41602.51182283731</v>
      </c>
      <c r="H55" s="8">
        <f t="shared" si="2"/>
        <v>10.635915824783201</v>
      </c>
      <c r="I55" s="8">
        <f>FACTORS_MUNI!$K$42</f>
        <v>14.812911489078509</v>
      </c>
      <c r="J55" s="8">
        <f t="shared" si="3"/>
        <v>11.613263167394976</v>
      </c>
    </row>
    <row r="56" spans="1:10" x14ac:dyDescent="0.3">
      <c r="A56">
        <v>36</v>
      </c>
      <c r="B56" s="13" t="s">
        <v>353</v>
      </c>
      <c r="C56" s="19">
        <v>27756.76</v>
      </c>
      <c r="D56" s="15">
        <v>1</v>
      </c>
      <c r="E56">
        <v>429050113</v>
      </c>
      <c r="F56">
        <v>6937</v>
      </c>
      <c r="G56" s="22">
        <f>(FACTORS_MUNI!$E$42/FACTORS_MUNI!$C$42)+(E56/SUM(E$2:E$78)*FACTORS_MUNI!$F$42/F56)</f>
        <v>29105.996761356895</v>
      </c>
      <c r="H56" s="8">
        <f t="shared" si="2"/>
        <v>10.27869950620263</v>
      </c>
      <c r="I56" s="8">
        <f>FACTORS_MUNI!$K$42</f>
        <v>14.812911489078509</v>
      </c>
      <c r="J56" s="8">
        <f t="shared" si="3"/>
        <v>10.231234693111643</v>
      </c>
    </row>
    <row r="57" spans="1:10" x14ac:dyDescent="0.3">
      <c r="A57">
        <v>76</v>
      </c>
      <c r="B57" s="13" t="s">
        <v>352</v>
      </c>
      <c r="C57" s="19">
        <v>83115.61</v>
      </c>
      <c r="D57" s="15">
        <v>0</v>
      </c>
      <c r="E57">
        <v>1704801477.6924701</v>
      </c>
      <c r="F57" s="20">
        <v>14394</v>
      </c>
      <c r="G57" s="22">
        <f>(FACTORS_MUNI!$E$42/FACTORS_MUNI!$C$42)+(E57/SUM(E$2:E$78)*FACTORS_MUNI!$F$42/F57)</f>
        <v>41738.393901601019</v>
      </c>
      <c r="H57" s="8">
        <f t="shared" si="2"/>
        <v>10.639176701251699</v>
      </c>
      <c r="I57" s="8">
        <f>FACTORS_MUNI!$K$42</f>
        <v>14.812911489078509</v>
      </c>
      <c r="J57" s="8">
        <f t="shared" si="3"/>
        <v>11.327987809171407</v>
      </c>
    </row>
    <row r="58" spans="1:10" x14ac:dyDescent="0.3">
      <c r="A58">
        <v>15</v>
      </c>
      <c r="B58" s="13" t="s">
        <v>354</v>
      </c>
      <c r="C58" s="19">
        <v>90360.68</v>
      </c>
      <c r="D58" s="15">
        <v>0.22267534116153603</v>
      </c>
      <c r="E58">
        <v>5529760840.5041904</v>
      </c>
      <c r="F58">
        <v>63031</v>
      </c>
      <c r="G58" s="22">
        <f>(FACTORS_MUNI!$E$42/FACTORS_MUNI!$C$42)+(E58/SUM(E$2:E$78)*FACTORS_MUNI!$F$42/F58)</f>
        <v>34883.511955529997</v>
      </c>
      <c r="H58" s="8">
        <f t="shared" si="2"/>
        <v>10.459769559752793</v>
      </c>
      <c r="I58" s="8">
        <f>FACTORS_MUNI!$K$42</f>
        <v>14.812911489078509</v>
      </c>
      <c r="J58" s="8">
        <f t="shared" si="3"/>
        <v>11.411564496007363</v>
      </c>
    </row>
    <row r="59" spans="1:10" x14ac:dyDescent="0.3">
      <c r="A59">
        <v>50</v>
      </c>
      <c r="B59" s="13" t="s">
        <v>355</v>
      </c>
      <c r="C59" s="19">
        <v>62475.37</v>
      </c>
      <c r="D59" s="15">
        <v>0.48020527859237538</v>
      </c>
      <c r="E59">
        <v>448315198.45997101</v>
      </c>
      <c r="F59">
        <v>6744</v>
      </c>
      <c r="G59" s="22">
        <f>(FACTORS_MUNI!$E$42/FACTORS_MUNI!$C$42)+(E59/SUM(E$2:E$78)*FACTORS_MUNI!$F$42/F59)</f>
        <v>30138.807113785584</v>
      </c>
      <c r="H59" s="8">
        <f t="shared" si="2"/>
        <v>10.313568893221589</v>
      </c>
      <c r="I59" s="8">
        <f>FACTORS_MUNI!$K$42</f>
        <v>14.812911489078509</v>
      </c>
      <c r="J59" s="8">
        <f t="shared" si="3"/>
        <v>11.042527678054563</v>
      </c>
    </row>
    <row r="60" spans="1:10" x14ac:dyDescent="0.3">
      <c r="A60">
        <v>54</v>
      </c>
      <c r="B60" s="13" t="s">
        <v>224</v>
      </c>
      <c r="C60" s="19">
        <v>17638.89</v>
      </c>
      <c r="D60" s="15">
        <v>1</v>
      </c>
      <c r="E60">
        <v>93486026</v>
      </c>
      <c r="F60">
        <v>7518</v>
      </c>
      <c r="G60" s="22">
        <f>(FACTORS_MUNI!$E$42/FACTORS_MUNI!$C$42)+(E60/SUM(E$2:E$78)*FACTORS_MUNI!$F$42/F60)</f>
        <v>18075.119668431162</v>
      </c>
      <c r="H60" s="8">
        <f t="shared" si="2"/>
        <v>9.8022916676651413</v>
      </c>
      <c r="I60" s="8">
        <f>FACTORS_MUNI!$K$42</f>
        <v>14.812911489078509</v>
      </c>
      <c r="J60" s="8">
        <f t="shared" si="3"/>
        <v>9.7778614024108421</v>
      </c>
    </row>
    <row r="61" spans="1:10" x14ac:dyDescent="0.3">
      <c r="A61">
        <v>1</v>
      </c>
      <c r="B61" s="13" t="s">
        <v>356</v>
      </c>
      <c r="C61" s="19">
        <v>60915.74</v>
      </c>
      <c r="D61" s="15">
        <v>0.29557057596893649</v>
      </c>
      <c r="E61">
        <v>3894460410</v>
      </c>
      <c r="F61">
        <v>54173</v>
      </c>
      <c r="G61" s="22">
        <f>(FACTORS_MUNI!$E$42/FACTORS_MUNI!$C$42)+(E61/SUM(E$2:E$78)*FACTORS_MUNI!$F$42/F61)</f>
        <v>31347.195898725891</v>
      </c>
      <c r="H61" s="8">
        <f t="shared" si="2"/>
        <v>10.352880097043904</v>
      </c>
      <c r="I61" s="8">
        <f>FACTORS_MUNI!$K$42</f>
        <v>14.812911489078509</v>
      </c>
      <c r="J61" s="8">
        <f t="shared" si="3"/>
        <v>11.017246876789907</v>
      </c>
    </row>
    <row r="62" spans="1:10" x14ac:dyDescent="0.3">
      <c r="A62">
        <v>49</v>
      </c>
      <c r="B62" s="13" t="s">
        <v>357</v>
      </c>
      <c r="C62" s="19">
        <v>48744.81</v>
      </c>
      <c r="D62" s="15">
        <v>0.64146228359439406</v>
      </c>
      <c r="E62">
        <v>1449606528.7150199</v>
      </c>
      <c r="F62">
        <v>36635</v>
      </c>
      <c r="G62" s="22">
        <f>(FACTORS_MUNI!$E$42/FACTORS_MUNI!$C$42)+(E62/SUM(E$2:E$78)*FACTORS_MUNI!$F$42/F62)</f>
        <v>24132.26413572349</v>
      </c>
      <c r="H62" s="8">
        <f t="shared" si="2"/>
        <v>10.091304984955894</v>
      </c>
      <c r="I62" s="8">
        <f>FACTORS_MUNI!$K$42</f>
        <v>14.812911489078509</v>
      </c>
      <c r="J62" s="8">
        <f t="shared" si="3"/>
        <v>10.7943540092201</v>
      </c>
    </row>
    <row r="63" spans="1:10" x14ac:dyDescent="0.3">
      <c r="A63">
        <v>46</v>
      </c>
      <c r="B63" s="13" t="s">
        <v>358</v>
      </c>
      <c r="C63" s="19">
        <v>40515.019999999997</v>
      </c>
      <c r="D63" s="15">
        <v>0.63666666666666671</v>
      </c>
      <c r="E63">
        <v>879604365.20338202</v>
      </c>
      <c r="F63">
        <v>27551</v>
      </c>
      <c r="G63" s="22">
        <f>(FACTORS_MUNI!$E$42/FACTORS_MUNI!$C$42)+(E63/SUM(E$2:E$78)*FACTORS_MUNI!$F$42/F63)</f>
        <v>22426.220518587754</v>
      </c>
      <c r="H63" s="8">
        <f t="shared" si="2"/>
        <v>10.017986112138795</v>
      </c>
      <c r="I63" s="8">
        <f>FACTORS_MUNI!$K$42</f>
        <v>14.812911489078509</v>
      </c>
      <c r="J63" s="8">
        <f t="shared" si="3"/>
        <v>10.609428048539034</v>
      </c>
    </row>
    <row r="64" spans="1:10" x14ac:dyDescent="0.3">
      <c r="A64">
        <v>51</v>
      </c>
      <c r="B64" s="13" t="s">
        <v>359</v>
      </c>
      <c r="C64" s="19">
        <v>39340</v>
      </c>
      <c r="D64" s="15">
        <v>0</v>
      </c>
      <c r="E64">
        <v>639138915.49758601</v>
      </c>
      <c r="F64">
        <v>12854</v>
      </c>
      <c r="G64" s="22">
        <f>(FACTORS_MUNI!$E$42/FACTORS_MUNI!$C$42)+(E64/SUM(E$2:E$78)*FACTORS_MUNI!$F$42/F64)</f>
        <v>26398.968839963356</v>
      </c>
      <c r="H64" s="8">
        <f t="shared" si="2"/>
        <v>10.181080229279285</v>
      </c>
      <c r="I64" s="8">
        <f>FACTORS_MUNI!$K$42</f>
        <v>14.812911489078509</v>
      </c>
      <c r="J64" s="8">
        <f t="shared" si="3"/>
        <v>10.579997091943049</v>
      </c>
    </row>
    <row r="65" spans="1:10" x14ac:dyDescent="0.3">
      <c r="A65">
        <v>30</v>
      </c>
      <c r="B65" s="13" t="s">
        <v>360</v>
      </c>
      <c r="C65" s="19">
        <v>54569.47</v>
      </c>
      <c r="D65" s="15">
        <v>0.61087690303785769</v>
      </c>
      <c r="E65">
        <v>2274481373.9562602</v>
      </c>
      <c r="F65">
        <v>69884</v>
      </c>
      <c r="G65" s="22">
        <f>(FACTORS_MUNI!$E$42/FACTORS_MUNI!$C$42)+(E65/SUM(E$2:E$78)*FACTORS_MUNI!$F$42/F65)</f>
        <v>22564.650942067561</v>
      </c>
      <c r="H65" s="8">
        <f t="shared" si="2"/>
        <v>10.024139843143784</v>
      </c>
      <c r="I65" s="8">
        <f>FACTORS_MUNI!$K$42</f>
        <v>14.812911489078509</v>
      </c>
      <c r="J65" s="8">
        <f t="shared" si="3"/>
        <v>10.90722984783698</v>
      </c>
    </row>
    <row r="66" spans="1:10" x14ac:dyDescent="0.3">
      <c r="A66">
        <v>43</v>
      </c>
      <c r="B66" s="13" t="s">
        <v>361</v>
      </c>
      <c r="C66" s="19">
        <v>44027.92</v>
      </c>
      <c r="D66" s="15">
        <v>0.46788089900131552</v>
      </c>
      <c r="E66">
        <v>1991331096</v>
      </c>
      <c r="F66">
        <v>53588</v>
      </c>
      <c r="G66" s="22">
        <f>(FACTORS_MUNI!$E$42/FACTORS_MUNI!$C$42)+(E66/SUM(E$2:E$78)*FACTORS_MUNI!$F$42/F66)</f>
        <v>23594.527200589837</v>
      </c>
      <c r="H66" s="8">
        <f t="shared" ref="H66:H97" si="4">LN(G66)</f>
        <v>10.068770065841045</v>
      </c>
      <c r="I66" s="8">
        <f>FACTORS_MUNI!$K$42</f>
        <v>14.812911489078509</v>
      </c>
      <c r="J66" s="8">
        <f t="shared" ref="J66:J78" si="5">LN(C66)</f>
        <v>10.692579257116103</v>
      </c>
    </row>
    <row r="67" spans="1:10" x14ac:dyDescent="0.3">
      <c r="A67">
        <v>32</v>
      </c>
      <c r="B67" s="13" t="s">
        <v>362</v>
      </c>
      <c r="C67" s="19">
        <v>119470.67</v>
      </c>
      <c r="D67" s="15">
        <v>0</v>
      </c>
      <c r="E67">
        <v>62800380163.2892</v>
      </c>
      <c r="F67">
        <v>42550</v>
      </c>
      <c r="G67" s="22">
        <f>(FACTORS_MUNI!$E$42/FACTORS_MUNI!$C$42)+(E67/SUM(E$2:E$78)*FACTORS_MUNI!$F$42/F67)</f>
        <v>344770.72722279653</v>
      </c>
      <c r="H67" s="8">
        <f t="shared" si="4"/>
        <v>12.750634916321932</v>
      </c>
      <c r="I67" s="8">
        <f>FACTORS_MUNI!$K$42</f>
        <v>14.812911489078509</v>
      </c>
      <c r="J67" s="8">
        <f t="shared" si="5"/>
        <v>11.690826180897997</v>
      </c>
    </row>
    <row r="68" spans="1:10" x14ac:dyDescent="0.3">
      <c r="A68">
        <v>3</v>
      </c>
      <c r="B68" s="13" t="s">
        <v>363</v>
      </c>
      <c r="C68" s="19">
        <v>70066.83</v>
      </c>
      <c r="D68" s="15">
        <v>0</v>
      </c>
      <c r="E68">
        <v>6281493234</v>
      </c>
      <c r="F68">
        <v>56344</v>
      </c>
      <c r="G68" s="22">
        <f>(FACTORS_MUNI!$E$42/FACTORS_MUNI!$C$42)+(E68/SUM(E$2:E$78)*FACTORS_MUNI!$F$42/F68)</f>
        <v>40186.120731207593</v>
      </c>
      <c r="H68" s="8">
        <f t="shared" si="4"/>
        <v>10.601276959550134</v>
      </c>
      <c r="I68" s="8">
        <f>FACTORS_MUNI!$K$42</f>
        <v>14.812911489078509</v>
      </c>
      <c r="J68" s="8">
        <f t="shared" si="5"/>
        <v>11.157204779867387</v>
      </c>
    </row>
    <row r="69" spans="1:10" x14ac:dyDescent="0.3">
      <c r="A69">
        <v>73</v>
      </c>
      <c r="B69" s="13" t="s">
        <v>364</v>
      </c>
      <c r="C69" s="19">
        <v>68129.460000000006</v>
      </c>
      <c r="D69" s="15">
        <v>0.75599441452224214</v>
      </c>
      <c r="E69">
        <v>1271715507.2748699</v>
      </c>
      <c r="F69">
        <v>24851</v>
      </c>
      <c r="G69" s="22">
        <f>(FACTORS_MUNI!$E$42/FACTORS_MUNI!$C$42)+(E69/SUM(E$2:E$78)*FACTORS_MUNI!$F$42/F69)</f>
        <v>26722.800686319082</v>
      </c>
      <c r="H69" s="8">
        <f t="shared" si="4"/>
        <v>10.193272438262515</v>
      </c>
      <c r="I69" s="8">
        <f>FACTORS_MUNI!$K$42</f>
        <v>14.812911489078509</v>
      </c>
      <c r="J69" s="8">
        <f t="shared" si="5"/>
        <v>11.129164997712525</v>
      </c>
    </row>
    <row r="70" spans="1:10" x14ac:dyDescent="0.3">
      <c r="A70">
        <v>40</v>
      </c>
      <c r="B70" s="13" t="s">
        <v>365</v>
      </c>
      <c r="C70" s="19">
        <v>35737.18</v>
      </c>
      <c r="D70" s="15">
        <v>0.67443141575509558</v>
      </c>
      <c r="E70">
        <v>476450594</v>
      </c>
      <c r="F70">
        <v>12313</v>
      </c>
      <c r="G70" s="22">
        <f>(FACTORS_MUNI!$E$42/FACTORS_MUNI!$C$42)+(E70/SUM(E$2:E$78)*FACTORS_MUNI!$F$42/F70)</f>
        <v>23937.165977303499</v>
      </c>
      <c r="H70" s="8">
        <f t="shared" si="4"/>
        <v>10.083187591874877</v>
      </c>
      <c r="I70" s="8">
        <f>FACTORS_MUNI!$K$42</f>
        <v>14.812911489078509</v>
      </c>
      <c r="J70" s="8">
        <f t="shared" si="5"/>
        <v>10.483946882410695</v>
      </c>
    </row>
    <row r="71" spans="1:10" x14ac:dyDescent="0.3">
      <c r="A71">
        <v>62</v>
      </c>
      <c r="B71" s="13" t="s">
        <v>366</v>
      </c>
      <c r="C71" s="19">
        <v>75895.23</v>
      </c>
      <c r="D71" s="15">
        <v>0.75171251495052738</v>
      </c>
      <c r="E71">
        <v>938670954</v>
      </c>
      <c r="F71">
        <v>17901</v>
      </c>
      <c r="G71" s="22">
        <f>(FACTORS_MUNI!$E$42/FACTORS_MUNI!$C$42)+(E71/SUM(E$2:E$78)*FACTORS_MUNI!$F$42/F71)</f>
        <v>27004.78059830219</v>
      </c>
      <c r="H71" s="8">
        <f t="shared" si="4"/>
        <v>10.203769188509714</v>
      </c>
      <c r="I71" s="8">
        <f>FACTORS_MUNI!$K$42</f>
        <v>14.812911489078509</v>
      </c>
      <c r="J71" s="8">
        <f t="shared" si="5"/>
        <v>11.237109115559036</v>
      </c>
    </row>
    <row r="72" spans="1:10" x14ac:dyDescent="0.3">
      <c r="A72">
        <v>67</v>
      </c>
      <c r="B72" s="13" t="s">
        <v>367</v>
      </c>
      <c r="C72" s="19">
        <v>38273.449999999997</v>
      </c>
      <c r="D72" s="15">
        <v>0.67517792694033119</v>
      </c>
      <c r="E72">
        <v>615677087.28356099</v>
      </c>
      <c r="F72">
        <v>28144</v>
      </c>
      <c r="G72" s="22">
        <f>(FACTORS_MUNI!$E$42/FACTORS_MUNI!$C$42)+(E72/SUM(E$2:E$78)*FACTORS_MUNI!$F$42/F72)</f>
        <v>20182.647162114208</v>
      </c>
      <c r="H72" s="8">
        <f t="shared" si="4"/>
        <v>9.9125784628127196</v>
      </c>
      <c r="I72" s="8">
        <f>FACTORS_MUNI!$K$42</f>
        <v>14.812911489078509</v>
      </c>
      <c r="J72" s="8">
        <f t="shared" si="5"/>
        <v>10.552511723298306</v>
      </c>
    </row>
    <row r="73" spans="1:10" x14ac:dyDescent="0.3">
      <c r="A73">
        <v>26</v>
      </c>
      <c r="B73" s="13" t="s">
        <v>368</v>
      </c>
      <c r="C73" s="19">
        <v>38641.730000000003</v>
      </c>
      <c r="D73" s="15">
        <v>0.64332013996443527</v>
      </c>
      <c r="E73">
        <v>530526289.57916802</v>
      </c>
      <c r="F73">
        <v>15096</v>
      </c>
      <c r="G73" s="22">
        <f>(FACTORS_MUNI!$E$42/FACTORS_MUNI!$C$42)+(E73/SUM(E$2:E$78)*FACTORS_MUNI!$F$42/F73)</f>
        <v>23144.377221547933</v>
      </c>
      <c r="H73" s="8">
        <f t="shared" si="4"/>
        <v>10.049507145414777</v>
      </c>
      <c r="I73" s="8">
        <f>FACTORS_MUNI!$K$42</f>
        <v>14.812911489078509</v>
      </c>
      <c r="J73" s="8">
        <f t="shared" si="5"/>
        <v>10.562088059580935</v>
      </c>
    </row>
    <row r="74" spans="1:10" x14ac:dyDescent="0.3">
      <c r="A74">
        <v>65</v>
      </c>
      <c r="B74" s="13" t="s">
        <v>369</v>
      </c>
      <c r="C74" s="19">
        <v>73122.880000000005</v>
      </c>
      <c r="D74" s="15">
        <v>0.66009149783138255</v>
      </c>
      <c r="E74">
        <v>1661667786.2862899</v>
      </c>
      <c r="F74">
        <v>31942</v>
      </c>
      <c r="G74" s="22">
        <f>(FACTORS_MUNI!$E$42/FACTORS_MUNI!$C$42)+(E74/SUM(E$2:E$78)*FACTORS_MUNI!$F$42/F74)</f>
        <v>26912.054428689953</v>
      </c>
      <c r="H74" s="8">
        <f t="shared" si="4"/>
        <v>10.200329585239787</v>
      </c>
      <c r="I74" s="8">
        <f>FACTORS_MUNI!$K$42</f>
        <v>14.812911489078509</v>
      </c>
      <c r="J74" s="8">
        <f t="shared" si="5"/>
        <v>11.199896592660906</v>
      </c>
    </row>
    <row r="75" spans="1:10" x14ac:dyDescent="0.3">
      <c r="A75">
        <v>53</v>
      </c>
      <c r="B75" s="13" t="s">
        <v>370</v>
      </c>
      <c r="C75" s="19">
        <v>54430.28</v>
      </c>
      <c r="D75" s="15">
        <v>0.89373276126264178</v>
      </c>
      <c r="E75">
        <v>885370209.09593594</v>
      </c>
      <c r="F75">
        <v>24549</v>
      </c>
      <c r="G75" s="22">
        <f>(FACTORS_MUNI!$E$42/FACTORS_MUNI!$C$42)+(E75/SUM(E$2:E$78)*FACTORS_MUNI!$F$42/F75)</f>
        <v>23350.18037660011</v>
      </c>
      <c r="H75" s="8">
        <f t="shared" si="4"/>
        <v>10.058359987975134</v>
      </c>
      <c r="I75" s="8">
        <f>FACTORS_MUNI!$K$42</f>
        <v>14.812911489078509</v>
      </c>
      <c r="J75" s="8">
        <f t="shared" si="5"/>
        <v>10.904675895636951</v>
      </c>
    </row>
    <row r="76" spans="1:10" x14ac:dyDescent="0.3">
      <c r="A76">
        <v>2</v>
      </c>
      <c r="B76" s="13" t="s">
        <v>371</v>
      </c>
      <c r="C76" s="19">
        <v>70823.37</v>
      </c>
      <c r="D76" s="15">
        <v>5.750628873732528E-2</v>
      </c>
      <c r="E76">
        <v>5277053447</v>
      </c>
      <c r="F76">
        <v>78373</v>
      </c>
      <c r="G76" s="22">
        <f>(FACTORS_MUNI!$E$42/FACTORS_MUNI!$C$42)+(E76/SUM(E$2:E$78)*FACTORS_MUNI!$F$42/F76)</f>
        <v>30329.979586097543</v>
      </c>
      <c r="H76" s="8">
        <f t="shared" si="4"/>
        <v>10.319891927622642</v>
      </c>
      <c r="I76" s="8">
        <f>FACTORS_MUNI!$K$42</f>
        <v>14.812911489078509</v>
      </c>
      <c r="J76" s="8">
        <f t="shared" si="5"/>
        <v>11.167944309961589</v>
      </c>
    </row>
    <row r="77" spans="1:10" x14ac:dyDescent="0.3">
      <c r="A77">
        <v>24</v>
      </c>
      <c r="B77" s="13" t="s">
        <v>372</v>
      </c>
      <c r="C77" s="19">
        <v>141208.35</v>
      </c>
      <c r="D77" s="15">
        <v>1.2781809275355716E-2</v>
      </c>
      <c r="E77">
        <v>16519483419.702299</v>
      </c>
      <c r="F77">
        <v>88164</v>
      </c>
      <c r="G77" s="22">
        <f>(FACTORS_MUNI!$E$42/FACTORS_MUNI!$C$42)+(E77/SUM(E$2:E$78)*FACTORS_MUNI!$F$42/F77)</f>
        <v>57126.591934951626</v>
      </c>
      <c r="H77" s="8">
        <f t="shared" si="4"/>
        <v>10.953024995378481</v>
      </c>
      <c r="I77" s="8">
        <f>FACTORS_MUNI!$K$42</f>
        <v>14.812911489078509</v>
      </c>
      <c r="J77" s="8">
        <f t="shared" si="5"/>
        <v>11.857991738270153</v>
      </c>
    </row>
    <row r="78" spans="1:10" x14ac:dyDescent="0.3">
      <c r="A78">
        <v>42</v>
      </c>
      <c r="B78" s="13" t="s">
        <v>373</v>
      </c>
      <c r="C78" s="19">
        <v>39802.04</v>
      </c>
      <c r="D78" s="15">
        <v>0.64528147389969293</v>
      </c>
      <c r="E78">
        <v>1145968560</v>
      </c>
      <c r="F78">
        <v>23801</v>
      </c>
      <c r="G78" s="22">
        <f>(FACTORS_MUNI!$E$42/FACTORS_MUNI!$C$42)+(E78/SUM(E$2:E$78)*FACTORS_MUNI!$F$42/F78)</f>
        <v>26047.370016216999</v>
      </c>
      <c r="H78" s="8">
        <f t="shared" si="4"/>
        <v>10.167672083014438</v>
      </c>
      <c r="I78" s="8">
        <f>FACTORS_MUNI!$K$42</f>
        <v>14.812911489078509</v>
      </c>
      <c r="J78" s="8">
        <f t="shared" si="5"/>
        <v>10.591673446240378</v>
      </c>
    </row>
  </sheetData>
  <autoFilter ref="A1:J78" xr:uid="{00000000-0001-0000-0100-000000000000}">
    <sortState xmlns:xlrd2="http://schemas.microsoft.com/office/spreadsheetml/2017/richdata2" ref="A2:J78">
      <sortCondition ref="B1:B78"/>
    </sortState>
  </autoFilter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H14" sqref="H14"/>
    </sheetView>
  </sheetViews>
  <sheetFormatPr defaultColWidth="8.6640625" defaultRowHeight="14.4" x14ac:dyDescent="0.3"/>
  <cols>
    <col min="1" max="1" width="21.6640625" bestFit="1" customWidth="1"/>
    <col min="2" max="2" width="9.109375" style="2"/>
  </cols>
  <sheetData>
    <row r="1" spans="1:2" x14ac:dyDescent="0.3">
      <c r="A1" s="1" t="s">
        <v>295</v>
      </c>
      <c r="B1" s="3" t="s">
        <v>294</v>
      </c>
    </row>
    <row r="2" spans="1:2" x14ac:dyDescent="0.3">
      <c r="A2" t="str">
        <f>FACTORS_MUNI!K1</f>
        <v>ln_POP</v>
      </c>
      <c r="B2" s="2">
        <v>1</v>
      </c>
    </row>
    <row r="3" spans="1:2" x14ac:dyDescent="0.3">
      <c r="A3" t="str">
        <f>FACTORS_MUNI!J1</f>
        <v>ln_TAX_BASE_PER_CAP</v>
      </c>
      <c r="B3" s="2">
        <v>1</v>
      </c>
    </row>
    <row r="4" spans="1:2" x14ac:dyDescent="0.3">
      <c r="A4" t="str">
        <f>FACTORS_MUNI!L1</f>
        <v>ln_MED_HH_INC</v>
      </c>
      <c r="B4" s="2">
        <v>1</v>
      </c>
    </row>
    <row r="5" spans="1:2" x14ac:dyDescent="0.3">
      <c r="A5" t="str">
        <f>FACTORS_MUNI!G1</f>
        <v>PCT_DA_POP</v>
      </c>
      <c r="B5" s="2">
        <v>-1</v>
      </c>
    </row>
  </sheetData>
  <conditionalFormatting sqref="A2:A1048576">
    <cfRule type="duplicateValues" dxfId="0" priority="22"/>
  </conditionalFormatting>
  <conditionalFormatting sqref="B1:B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A36205D5-D3BC-40FB-8028-6B3A6753CC9E}">
            <xm:f>AND(ISNA(HLOOKUP(A2, FACTORS_CCA!$C$1:$XFD$1, 1, FALSE)), A2&lt;&gt;"")</xm:f>
            <x14:dxf>
              <font>
                <color rgb="FF800000"/>
              </font>
              <fill>
                <patternFill>
                  <bgColor rgb="FFFF7C80"/>
                </patternFill>
              </fill>
            </x14:dxf>
          </x14:cfRule>
          <xm:sqref>A2:A1048576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FACTORS_MUNI!$C$1:$XFD$1</xm:f>
          </x14:formula1>
          <xm:sqref>A2:A1048576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I20" sqref="I20"/>
    </sheetView>
  </sheetViews>
  <sheetFormatPr defaultColWidth="8.6640625" defaultRowHeight="14.4" x14ac:dyDescent="0.3"/>
  <cols>
    <col min="1" max="1" width="8.44140625" bestFit="1" customWidth="1"/>
    <col min="2" max="2" width="12" bestFit="1" customWidth="1"/>
  </cols>
  <sheetData>
    <row r="1" spans="1:2" x14ac:dyDescent="0.3">
      <c r="A1" s="1" t="s">
        <v>296</v>
      </c>
      <c r="B1" s="1" t="s">
        <v>297</v>
      </c>
    </row>
    <row r="2" spans="1:2" x14ac:dyDescent="0.3">
      <c r="A2" s="12">
        <v>4</v>
      </c>
      <c r="B2">
        <v>37</v>
      </c>
    </row>
    <row r="3" spans="1:2" x14ac:dyDescent="0.3">
      <c r="A3" s="12">
        <v>3</v>
      </c>
      <c r="B3">
        <v>45</v>
      </c>
    </row>
    <row r="4" spans="1:2" x14ac:dyDescent="0.3">
      <c r="A4" s="12">
        <v>2</v>
      </c>
      <c r="B4">
        <v>65</v>
      </c>
    </row>
    <row r="5" spans="1:2" x14ac:dyDescent="0.3">
      <c r="A5" s="12">
        <v>1</v>
      </c>
      <c r="B5">
        <v>100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FACTORS_MUNI</vt:lpstr>
      <vt:lpstr>FACTORS_CCA</vt:lpstr>
      <vt:lpstr>WEIGHTS</vt:lpstr>
      <vt:lpstr>COHORTS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 Peterson</dc:creator>
  <cp:lastModifiedBy>Alexis McAdams</cp:lastModifiedBy>
  <dcterms:created xsi:type="dcterms:W3CDTF">2019-12-04T21:30:15Z</dcterms:created>
  <dcterms:modified xsi:type="dcterms:W3CDTF">2026-02-20T19:50:33Z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499eb2-e279-4942-bd63-d5ebf8ec43c8_Enabled">
    <vt:lpwstr>true</vt:lpwstr>
  </property>
  <property fmtid="{D5CDD505-2E9C-101B-9397-08002B2CF9AE}" pid="3" name="MSIP_Label_70499eb2-e279-4942-bd63-d5ebf8ec43c8_SetDate">
    <vt:lpwstr>2023-04-27T21:47:56Z</vt:lpwstr>
  </property>
  <property fmtid="{D5CDD505-2E9C-101B-9397-08002B2CF9AE}" pid="4" name="MSIP_Label_70499eb2-e279-4942-bd63-d5ebf8ec43c8_Method">
    <vt:lpwstr>Standard</vt:lpwstr>
  </property>
  <property fmtid="{D5CDD505-2E9C-101B-9397-08002B2CF9AE}" pid="5" name="MSIP_Label_70499eb2-e279-4942-bd63-d5ebf8ec43c8_Name">
    <vt:lpwstr>defa4170-0d19-0005-0004-bc88714345d2</vt:lpwstr>
  </property>
  <property fmtid="{D5CDD505-2E9C-101B-9397-08002B2CF9AE}" pid="6" name="MSIP_Label_70499eb2-e279-4942-bd63-d5ebf8ec43c8_SiteId">
    <vt:lpwstr>43b185b9-e6d9-45a5-8e36-4c08dc0ab1a2</vt:lpwstr>
  </property>
  <property fmtid="{D5CDD505-2E9C-101B-9397-08002B2CF9AE}" pid="7" name="MSIP_Label_70499eb2-e279-4942-bd63-d5ebf8ec43c8_ActionId">
    <vt:lpwstr>0be67dae-fe2a-49cf-a7d3-27d05c91a73e</vt:lpwstr>
  </property>
  <property fmtid="{D5CDD505-2E9C-101B-9397-08002B2CF9AE}" pid="8" name="MSIP_Label_70499eb2-e279-4942-bd63-d5ebf8ec43c8_ContentBits">
    <vt:lpwstr>0</vt:lpwstr>
  </property>
</Properties>
</file>